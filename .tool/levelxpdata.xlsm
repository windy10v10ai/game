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Develop\dota2 rpg\"/>
    </mc:Choice>
  </mc:AlternateContent>
  <bookViews>
    <workbookView xWindow="0" yWindow="0" windowWidth="18975" windowHeight="7650" activeTab="2"/>
  </bookViews>
  <sheets>
    <sheet name="xp" sheetId="1" r:id="rId1"/>
    <sheet name="killXP" sheetId="3" r:id="rId2"/>
    <sheet name="respawntime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" i="2" l="1"/>
  <c r="AF5" i="2" s="1"/>
  <c r="AG6" i="2"/>
  <c r="AG5" i="2" s="1"/>
  <c r="AH6" i="2"/>
  <c r="AH7" i="2" s="1"/>
  <c r="AI6" i="2"/>
  <c r="AJ6" i="2"/>
  <c r="AJ7" i="2" s="1"/>
  <c r="AK6" i="2"/>
  <c r="AL6" i="2"/>
  <c r="AM6" i="2"/>
  <c r="AN6" i="2"/>
  <c r="AO6" i="2"/>
  <c r="AO5" i="2" s="1"/>
  <c r="AP6" i="2"/>
  <c r="AP7" i="2" s="1"/>
  <c r="AQ6" i="2"/>
  <c r="AR6" i="2"/>
  <c r="AR5" i="2" s="1"/>
  <c r="AS6" i="2"/>
  <c r="AT6" i="2"/>
  <c r="AU6" i="2"/>
  <c r="AU5" i="2" s="1"/>
  <c r="AV6" i="2"/>
  <c r="AW6" i="2"/>
  <c r="AW5" i="2" s="1"/>
  <c r="AX6" i="2"/>
  <c r="AX5" i="2" s="1"/>
  <c r="AY6" i="2"/>
  <c r="AE5" i="2"/>
  <c r="AL5" i="2"/>
  <c r="AM5" i="2"/>
  <c r="AN5" i="2"/>
  <c r="AT5" i="2"/>
  <c r="AQ5" i="2"/>
  <c r="AY5" i="2"/>
  <c r="AV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Y5" i="2"/>
  <c r="Z5" i="2"/>
  <c r="AA5" i="2"/>
  <c r="AB5" i="2"/>
  <c r="AC5" i="2"/>
  <c r="AD5" i="2"/>
  <c r="AI5" i="2"/>
  <c r="AJ5" i="2"/>
  <c r="AK5" i="2"/>
  <c r="AS5" i="2"/>
  <c r="B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Y7" i="2"/>
  <c r="Z7" i="2"/>
  <c r="AA7" i="2"/>
  <c r="AB7" i="2"/>
  <c r="AC7" i="2"/>
  <c r="AD7" i="2"/>
  <c r="AG7" i="2"/>
  <c r="AI7" i="2"/>
  <c r="AK7" i="2"/>
  <c r="AS7" i="2"/>
  <c r="AT7" i="2"/>
  <c r="AV7" i="2"/>
  <c r="B7" i="2"/>
  <c r="AP3" i="2"/>
  <c r="AQ3" i="2"/>
  <c r="AR3" i="2"/>
  <c r="AS3" i="2"/>
  <c r="AT3" i="2"/>
  <c r="AU3" i="2"/>
  <c r="AV3" i="2"/>
  <c r="AW3" i="2"/>
  <c r="AX3" i="2"/>
  <c r="AY3" i="2"/>
  <c r="AP4" i="2"/>
  <c r="AQ4" i="2"/>
  <c r="AR4" i="2"/>
  <c r="AS4" i="2"/>
  <c r="AT4" i="2"/>
  <c r="AU4" i="2"/>
  <c r="AV4" i="2"/>
  <c r="AW4" i="2"/>
  <c r="AX4" i="2"/>
  <c r="AY4" i="2"/>
  <c r="AQ2" i="2"/>
  <c r="AR2" i="2"/>
  <c r="AS2" i="2"/>
  <c r="AT2" i="2"/>
  <c r="AU2" i="2"/>
  <c r="AV2" i="2"/>
  <c r="AW2" i="2"/>
  <c r="AX2" i="2"/>
  <c r="AY2" i="2"/>
  <c r="AP2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4" i="2"/>
  <c r="B3" i="2"/>
  <c r="AO7" i="2" l="1"/>
  <c r="AH5" i="2"/>
  <c r="AN7" i="2"/>
  <c r="AF7" i="2"/>
  <c r="AM7" i="2"/>
  <c r="AL7" i="2"/>
  <c r="AE7" i="2"/>
  <c r="AP5" i="2"/>
  <c r="AU7" i="2"/>
  <c r="AW7" i="2"/>
  <c r="AR7" i="2"/>
  <c r="AY7" i="2"/>
  <c r="AQ7" i="2"/>
  <c r="AX7" i="2"/>
  <c r="C33" i="3"/>
  <c r="E33" i="3" s="1"/>
  <c r="C34" i="3"/>
  <c r="E34" i="3" s="1"/>
  <c r="C35" i="3"/>
  <c r="C36" i="3"/>
  <c r="E36" i="3" s="1"/>
  <c r="C37" i="3"/>
  <c r="C38" i="3"/>
  <c r="E38" i="3" s="1"/>
  <c r="C39" i="3"/>
  <c r="E39" i="3" s="1"/>
  <c r="C40" i="3"/>
  <c r="E40" i="3" s="1"/>
  <c r="C41" i="3"/>
  <c r="E41" i="3" s="1"/>
  <c r="C42" i="3"/>
  <c r="E42" i="3" s="1"/>
  <c r="C43" i="3"/>
  <c r="C44" i="3"/>
  <c r="C45" i="3"/>
  <c r="C46" i="3"/>
  <c r="E46" i="3" s="1"/>
  <c r="C47" i="3"/>
  <c r="E47" i="3" s="1"/>
  <c r="C48" i="3"/>
  <c r="E48" i="3" s="1"/>
  <c r="C49" i="3"/>
  <c r="E49" i="3" s="1"/>
  <c r="C50" i="3"/>
  <c r="E50" i="3" s="1"/>
  <c r="C51" i="3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E66" i="3" s="1"/>
  <c r="C67" i="3"/>
  <c r="C68" i="3"/>
  <c r="E68" i="3" s="1"/>
  <c r="C69" i="3"/>
  <c r="E69" i="3" s="1"/>
  <c r="C70" i="3"/>
  <c r="E70" i="3" s="1"/>
  <c r="C71" i="3"/>
  <c r="E71" i="3" s="1"/>
  <c r="C72" i="3"/>
  <c r="E72" i="3" s="1"/>
  <c r="C73" i="3"/>
  <c r="E73" i="3" s="1"/>
  <c r="C74" i="3"/>
  <c r="E74" i="3" s="1"/>
  <c r="C75" i="3"/>
  <c r="C76" i="3"/>
  <c r="E76" i="3" s="1"/>
  <c r="C77" i="3"/>
  <c r="E77" i="3" s="1"/>
  <c r="C78" i="3"/>
  <c r="E78" i="3" s="1"/>
  <c r="C79" i="3"/>
  <c r="E79" i="3" s="1"/>
  <c r="C80" i="3"/>
  <c r="E80" i="3" s="1"/>
  <c r="C81" i="3"/>
  <c r="E81" i="3" s="1"/>
  <c r="C82" i="3"/>
  <c r="E82" i="3" s="1"/>
  <c r="C83" i="3"/>
  <c r="C84" i="3"/>
  <c r="E84" i="3" s="1"/>
  <c r="C85" i="3"/>
  <c r="E85" i="3" s="1"/>
  <c r="C86" i="3"/>
  <c r="E86" i="3" s="1"/>
  <c r="C87" i="3"/>
  <c r="E87" i="3" s="1"/>
  <c r="C88" i="3"/>
  <c r="E88" i="3" s="1"/>
  <c r="C89" i="3"/>
  <c r="E89" i="3" s="1"/>
  <c r="C90" i="3"/>
  <c r="E90" i="3" s="1"/>
  <c r="C91" i="3"/>
  <c r="C92" i="3"/>
  <c r="E92" i="3" s="1"/>
  <c r="C93" i="3"/>
  <c r="E93" i="3" s="1"/>
  <c r="C94" i="3"/>
  <c r="E94" i="3" s="1"/>
  <c r="C95" i="3"/>
  <c r="C96" i="3"/>
  <c r="E96" i="3" s="1"/>
  <c r="C97" i="3"/>
  <c r="E97" i="3" s="1"/>
  <c r="C98" i="3"/>
  <c r="E98" i="3" s="1"/>
  <c r="C99" i="3"/>
  <c r="C100" i="3"/>
  <c r="E100" i="3" s="1"/>
  <c r="C101" i="3"/>
  <c r="C32" i="3"/>
  <c r="E32" i="3" s="1"/>
  <c r="C3" i="3"/>
  <c r="E3" i="3" s="1"/>
  <c r="C4" i="3"/>
  <c r="E4" i="3" s="1"/>
  <c r="C5" i="3"/>
  <c r="E5" i="3" s="1"/>
  <c r="C6" i="3"/>
  <c r="E6" i="3" s="1"/>
  <c r="C7" i="3"/>
  <c r="E7" i="3" s="1"/>
  <c r="C8" i="3"/>
  <c r="E8" i="3" s="1"/>
  <c r="C9" i="3"/>
  <c r="E9" i="3" s="1"/>
  <c r="C10" i="3"/>
  <c r="E10" i="3" s="1"/>
  <c r="C11" i="3"/>
  <c r="E11" i="3" s="1"/>
  <c r="C12" i="3"/>
  <c r="E12" i="3" s="1"/>
  <c r="C13" i="3"/>
  <c r="E13" i="3" s="1"/>
  <c r="C14" i="3"/>
  <c r="E14" i="3" s="1"/>
  <c r="C15" i="3"/>
  <c r="E15" i="3" s="1"/>
  <c r="C16" i="3"/>
  <c r="E16" i="3" s="1"/>
  <c r="C17" i="3"/>
  <c r="E17" i="3" s="1"/>
  <c r="C18" i="3"/>
  <c r="E18" i="3" s="1"/>
  <c r="C19" i="3"/>
  <c r="E19" i="3" s="1"/>
  <c r="C20" i="3"/>
  <c r="E20" i="3" s="1"/>
  <c r="C21" i="3"/>
  <c r="E21" i="3" s="1"/>
  <c r="C22" i="3"/>
  <c r="E22" i="3" s="1"/>
  <c r="C23" i="3"/>
  <c r="E23" i="3" s="1"/>
  <c r="C24" i="3"/>
  <c r="E24" i="3" s="1"/>
  <c r="C25" i="3"/>
  <c r="E25" i="3" s="1"/>
  <c r="C26" i="3"/>
  <c r="E26" i="3" s="1"/>
  <c r="C27" i="3"/>
  <c r="E27" i="3" s="1"/>
  <c r="C28" i="3"/>
  <c r="E28" i="3" s="1"/>
  <c r="C29" i="3"/>
  <c r="E29" i="3" s="1"/>
  <c r="C30" i="3"/>
  <c r="E30" i="3" s="1"/>
  <c r="C31" i="3"/>
  <c r="E31" i="3" s="1"/>
  <c r="C2" i="3"/>
  <c r="E2" i="3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2" i="3"/>
  <c r="F34" i="3"/>
  <c r="F59" i="3"/>
  <c r="F77" i="3"/>
  <c r="F78" i="3"/>
  <c r="F85" i="3"/>
  <c r="F90" i="3"/>
  <c r="F91" i="3"/>
  <c r="E35" i="3"/>
  <c r="E37" i="3"/>
  <c r="E43" i="3"/>
  <c r="E44" i="3"/>
  <c r="E45" i="3"/>
  <c r="E51" i="3"/>
  <c r="E59" i="3"/>
  <c r="E67" i="3"/>
  <c r="E75" i="3"/>
  <c r="E83" i="3"/>
  <c r="E91" i="3"/>
  <c r="E95" i="3"/>
  <c r="E99" i="3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2" i="1"/>
  <c r="F72" i="3" l="1"/>
  <c r="F66" i="3"/>
  <c r="F98" i="3"/>
  <c r="F64" i="3"/>
  <c r="F53" i="3"/>
  <c r="F51" i="3"/>
  <c r="F40" i="3"/>
  <c r="F38" i="3"/>
  <c r="F46" i="3"/>
  <c r="F88" i="3"/>
  <c r="F75" i="3"/>
  <c r="F62" i="3"/>
  <c r="F50" i="3"/>
  <c r="F37" i="3"/>
  <c r="F99" i="3"/>
  <c r="F86" i="3"/>
  <c r="F74" i="3"/>
  <c r="F61" i="3"/>
  <c r="F48" i="3"/>
  <c r="F35" i="3"/>
  <c r="F96" i="3"/>
  <c r="F83" i="3"/>
  <c r="F70" i="3"/>
  <c r="F58" i="3"/>
  <c r="F45" i="3"/>
  <c r="F32" i="3"/>
  <c r="F94" i="3"/>
  <c r="F82" i="3"/>
  <c r="F69" i="3"/>
  <c r="F56" i="3"/>
  <c r="F43" i="3"/>
  <c r="F93" i="3"/>
  <c r="F80" i="3"/>
  <c r="F67" i="3"/>
  <c r="F54" i="3"/>
  <c r="F42" i="3"/>
  <c r="F97" i="3"/>
  <c r="F89" i="3"/>
  <c r="F81" i="3"/>
  <c r="F73" i="3"/>
  <c r="F65" i="3"/>
  <c r="F57" i="3"/>
  <c r="F49" i="3"/>
  <c r="F41" i="3"/>
  <c r="F33" i="3"/>
  <c r="F95" i="3"/>
  <c r="F87" i="3"/>
  <c r="F79" i="3"/>
  <c r="F71" i="3"/>
  <c r="F63" i="3"/>
  <c r="F55" i="3"/>
  <c r="F47" i="3"/>
  <c r="F39" i="3"/>
  <c r="F31" i="3"/>
  <c r="F100" i="3"/>
  <c r="F92" i="3"/>
  <c r="F84" i="3"/>
  <c r="F76" i="3"/>
  <c r="F68" i="3"/>
  <c r="F60" i="3"/>
  <c r="F52" i="3"/>
  <c r="F44" i="3"/>
  <c r="F36" i="3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C4" i="1" l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" i="1"/>
  <c r="E3" i="1" s="1"/>
  <c r="F3" i="1" l="1"/>
  <c r="H3" i="1" s="1"/>
  <c r="H2" i="1"/>
  <c r="F4" i="1" l="1"/>
  <c r="F5" i="1" s="1"/>
  <c r="H4" i="1" l="1"/>
  <c r="F6" i="1"/>
  <c r="H5" i="1"/>
  <c r="F7" i="1" l="1"/>
  <c r="H6" i="1"/>
  <c r="F8" i="1" l="1"/>
  <c r="H7" i="1"/>
  <c r="F9" i="1" l="1"/>
  <c r="H8" i="1"/>
  <c r="F10" i="1" l="1"/>
  <c r="H9" i="1"/>
  <c r="F11" i="1" l="1"/>
  <c r="H10" i="1"/>
  <c r="F12" i="1" l="1"/>
  <c r="H11" i="1"/>
  <c r="F13" i="1" l="1"/>
  <c r="H12" i="1"/>
  <c r="F14" i="1" l="1"/>
  <c r="H13" i="1"/>
  <c r="F15" i="1" l="1"/>
  <c r="H14" i="1"/>
  <c r="F16" i="1" l="1"/>
  <c r="H15" i="1"/>
  <c r="F17" i="1" l="1"/>
  <c r="H16" i="1"/>
  <c r="F18" i="1" l="1"/>
  <c r="H17" i="1"/>
  <c r="F19" i="1" l="1"/>
  <c r="H18" i="1"/>
  <c r="F20" i="1" l="1"/>
  <c r="H19" i="1"/>
  <c r="F21" i="1" l="1"/>
  <c r="H20" i="1"/>
  <c r="F22" i="1" l="1"/>
  <c r="H21" i="1"/>
  <c r="F23" i="1" l="1"/>
  <c r="H22" i="1"/>
  <c r="F24" i="1" l="1"/>
  <c r="H23" i="1"/>
  <c r="F25" i="1" l="1"/>
  <c r="H24" i="1"/>
  <c r="F26" i="1" l="1"/>
  <c r="H25" i="1"/>
  <c r="F27" i="1" l="1"/>
  <c r="H26" i="1"/>
  <c r="F28" i="1" l="1"/>
  <c r="H27" i="1"/>
  <c r="F29" i="1" l="1"/>
  <c r="H28" i="1"/>
  <c r="F30" i="1" l="1"/>
  <c r="H29" i="1"/>
  <c r="F31" i="1" l="1"/>
  <c r="H30" i="1"/>
  <c r="F32" i="1" l="1"/>
  <c r="H31" i="1"/>
  <c r="F33" i="1" l="1"/>
  <c r="H32" i="1"/>
  <c r="F34" i="1" l="1"/>
  <c r="H33" i="1"/>
  <c r="F35" i="1" l="1"/>
  <c r="H34" i="1"/>
  <c r="F36" i="1" l="1"/>
  <c r="H35" i="1"/>
  <c r="F37" i="1" l="1"/>
  <c r="H36" i="1"/>
  <c r="F38" i="1" l="1"/>
  <c r="H37" i="1"/>
  <c r="F39" i="1" l="1"/>
  <c r="H38" i="1"/>
  <c r="F40" i="1" l="1"/>
  <c r="H39" i="1"/>
  <c r="F41" i="1" l="1"/>
  <c r="H40" i="1"/>
  <c r="F42" i="1" l="1"/>
  <c r="H41" i="1"/>
  <c r="F43" i="1" l="1"/>
  <c r="H42" i="1"/>
  <c r="F44" i="1" l="1"/>
  <c r="H43" i="1"/>
  <c r="F45" i="1" l="1"/>
  <c r="H44" i="1"/>
  <c r="F46" i="1" l="1"/>
  <c r="H45" i="1"/>
  <c r="F47" i="1" l="1"/>
  <c r="H46" i="1"/>
  <c r="F48" i="1" l="1"/>
  <c r="H47" i="1"/>
  <c r="F49" i="1" l="1"/>
  <c r="H48" i="1"/>
  <c r="F50" i="1" l="1"/>
  <c r="H49" i="1"/>
  <c r="F51" i="1" l="1"/>
  <c r="H50" i="1"/>
  <c r="F52" i="1" l="1"/>
  <c r="H51" i="1"/>
  <c r="F53" i="1" l="1"/>
  <c r="H52" i="1"/>
  <c r="F54" i="1" l="1"/>
  <c r="H53" i="1"/>
  <c r="F55" i="1" l="1"/>
  <c r="H54" i="1"/>
  <c r="F56" i="1" l="1"/>
  <c r="H55" i="1"/>
  <c r="F57" i="1" l="1"/>
  <c r="H56" i="1"/>
  <c r="F58" i="1" l="1"/>
  <c r="H57" i="1"/>
  <c r="F59" i="1" l="1"/>
  <c r="H58" i="1"/>
  <c r="F60" i="1" l="1"/>
  <c r="H59" i="1"/>
  <c r="F61" i="1" l="1"/>
  <c r="H60" i="1"/>
  <c r="F62" i="1" l="1"/>
  <c r="H61" i="1"/>
  <c r="F63" i="1" l="1"/>
  <c r="H62" i="1"/>
  <c r="F64" i="1" l="1"/>
  <c r="H63" i="1"/>
  <c r="F65" i="1" l="1"/>
  <c r="H64" i="1"/>
  <c r="F66" i="1" l="1"/>
  <c r="H65" i="1"/>
  <c r="F67" i="1" l="1"/>
  <c r="H66" i="1"/>
  <c r="F68" i="1" l="1"/>
  <c r="H67" i="1"/>
  <c r="F69" i="1" l="1"/>
  <c r="H68" i="1"/>
  <c r="F70" i="1" l="1"/>
  <c r="H69" i="1"/>
  <c r="F71" i="1" l="1"/>
  <c r="H70" i="1"/>
  <c r="F72" i="1" l="1"/>
  <c r="H71" i="1"/>
  <c r="F73" i="1" l="1"/>
  <c r="H72" i="1"/>
  <c r="F74" i="1" l="1"/>
  <c r="H73" i="1"/>
  <c r="F75" i="1" l="1"/>
  <c r="H74" i="1"/>
  <c r="F76" i="1" l="1"/>
  <c r="H75" i="1"/>
  <c r="F77" i="1" l="1"/>
  <c r="H76" i="1"/>
  <c r="F78" i="1" l="1"/>
  <c r="H77" i="1"/>
  <c r="F79" i="1" l="1"/>
  <c r="H78" i="1"/>
  <c r="F80" i="1" l="1"/>
  <c r="H79" i="1"/>
  <c r="F81" i="1" l="1"/>
  <c r="H80" i="1"/>
  <c r="F82" i="1" l="1"/>
  <c r="H81" i="1"/>
  <c r="F83" i="1" l="1"/>
  <c r="H82" i="1"/>
  <c r="F84" i="1" l="1"/>
  <c r="H83" i="1"/>
  <c r="F85" i="1" l="1"/>
  <c r="H84" i="1"/>
  <c r="F86" i="1" l="1"/>
  <c r="H85" i="1"/>
  <c r="F87" i="1" l="1"/>
  <c r="H86" i="1"/>
  <c r="F88" i="1" l="1"/>
  <c r="H87" i="1"/>
  <c r="F89" i="1" l="1"/>
  <c r="H88" i="1"/>
  <c r="F90" i="1" l="1"/>
  <c r="H89" i="1"/>
  <c r="F91" i="1" l="1"/>
  <c r="H90" i="1"/>
  <c r="F92" i="1" l="1"/>
  <c r="H91" i="1"/>
  <c r="F93" i="1" l="1"/>
  <c r="H92" i="1"/>
  <c r="F94" i="1" l="1"/>
  <c r="H93" i="1"/>
  <c r="F95" i="1" l="1"/>
  <c r="H94" i="1"/>
  <c r="F96" i="1" l="1"/>
  <c r="H95" i="1"/>
  <c r="F97" i="1" l="1"/>
  <c r="H96" i="1"/>
  <c r="F98" i="1" l="1"/>
  <c r="H97" i="1"/>
  <c r="F99" i="1" l="1"/>
  <c r="H98" i="1"/>
  <c r="F100" i="1" l="1"/>
  <c r="H99" i="1"/>
  <c r="F101" i="1" l="1"/>
  <c r="H100" i="1"/>
  <c r="I5" i="1" l="1"/>
  <c r="I45" i="1"/>
  <c r="I69" i="1"/>
  <c r="I6" i="1"/>
  <c r="I14" i="1"/>
  <c r="I22" i="1"/>
  <c r="I30" i="1"/>
  <c r="I38" i="1"/>
  <c r="I46" i="1"/>
  <c r="I54" i="1"/>
  <c r="I62" i="1"/>
  <c r="I70" i="1"/>
  <c r="I78" i="1"/>
  <c r="I86" i="1"/>
  <c r="I94" i="1"/>
  <c r="I2" i="1"/>
  <c r="I7" i="1"/>
  <c r="I15" i="1"/>
  <c r="I23" i="1"/>
  <c r="I31" i="1"/>
  <c r="I39" i="1"/>
  <c r="I47" i="1"/>
  <c r="I55" i="1"/>
  <c r="I63" i="1"/>
  <c r="I71" i="1"/>
  <c r="I79" i="1"/>
  <c r="I87" i="1"/>
  <c r="I95" i="1"/>
  <c r="I20" i="1"/>
  <c r="I44" i="1"/>
  <c r="I84" i="1"/>
  <c r="I13" i="1"/>
  <c r="I53" i="1"/>
  <c r="I101" i="1"/>
  <c r="I8" i="1"/>
  <c r="I16" i="1"/>
  <c r="I24" i="1"/>
  <c r="I32" i="1"/>
  <c r="I40" i="1"/>
  <c r="I48" i="1"/>
  <c r="I56" i="1"/>
  <c r="I64" i="1"/>
  <c r="I72" i="1"/>
  <c r="I80" i="1"/>
  <c r="I88" i="1"/>
  <c r="I96" i="1"/>
  <c r="I3" i="1"/>
  <c r="I35" i="1"/>
  <c r="I67" i="1"/>
  <c r="I91" i="1"/>
  <c r="I12" i="1"/>
  <c r="I60" i="1"/>
  <c r="I29" i="1"/>
  <c r="I77" i="1"/>
  <c r="I9" i="1"/>
  <c r="I17" i="1"/>
  <c r="I25" i="1"/>
  <c r="I33" i="1"/>
  <c r="I41" i="1"/>
  <c r="I49" i="1"/>
  <c r="I57" i="1"/>
  <c r="I65" i="1"/>
  <c r="I73" i="1"/>
  <c r="I81" i="1"/>
  <c r="I89" i="1"/>
  <c r="I97" i="1"/>
  <c r="H101" i="1"/>
  <c r="I11" i="1"/>
  <c r="I27" i="1"/>
  <c r="I43" i="1"/>
  <c r="I59" i="1"/>
  <c r="I83" i="1"/>
  <c r="I28" i="1"/>
  <c r="I52" i="1"/>
  <c r="I76" i="1"/>
  <c r="I100" i="1"/>
  <c r="I37" i="1"/>
  <c r="I61" i="1"/>
  <c r="I93" i="1"/>
  <c r="I10" i="1"/>
  <c r="I18" i="1"/>
  <c r="I26" i="1"/>
  <c r="I34" i="1"/>
  <c r="I42" i="1"/>
  <c r="I50" i="1"/>
  <c r="I58" i="1"/>
  <c r="I66" i="1"/>
  <c r="I74" i="1"/>
  <c r="I82" i="1"/>
  <c r="I90" i="1"/>
  <c r="I98" i="1"/>
  <c r="I19" i="1"/>
  <c r="I51" i="1"/>
  <c r="I75" i="1"/>
  <c r="I99" i="1"/>
  <c r="I4" i="1"/>
  <c r="I36" i="1"/>
  <c r="I68" i="1"/>
  <c r="I92" i="1"/>
  <c r="I21" i="1"/>
  <c r="I85" i="1"/>
  <c r="R7" i="2"/>
  <c r="V7" i="2"/>
  <c r="T7" i="2"/>
  <c r="T5" i="2"/>
  <c r="V5" i="2"/>
  <c r="U7" i="2"/>
  <c r="X7" i="2"/>
  <c r="W7" i="2"/>
  <c r="X5" i="2"/>
  <c r="W5" i="2"/>
  <c r="U5" i="2"/>
  <c r="S7" i="2"/>
  <c r="S5" i="2"/>
  <c r="R5" i="2"/>
</calcChain>
</file>

<file path=xl/sharedStrings.xml><?xml version="1.0" encoding="utf-8"?>
<sst xmlns="http://schemas.openxmlformats.org/spreadsheetml/2006/main" count="25" uniqueCount="23">
  <si>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</si>
  <si>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</si>
  <si>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</si>
  <si>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</si>
  <si>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</si>
  <si>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t>单杀升级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</si>
  <si>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100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</si>
  <si>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t>修正前XP</t>
    <phoneticPr fontId="1"/>
  </si>
  <si>
    <t>修正后XP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</si>
  <si>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</si>
  <si>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</si>
  <si>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</si>
  <si>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</si>
  <si>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修正前%</t>
    <phoneticPr fontId="1"/>
  </si>
  <si>
    <t>单杀升级%</t>
    <phoneticPr fontId="1"/>
  </si>
  <si>
    <t>普通100%</t>
    <phoneticPr fontId="1"/>
  </si>
  <si>
    <t>慢125%</t>
    <phoneticPr fontId="1"/>
  </si>
  <si>
    <t>快75%</t>
    <phoneticPr fontId="1"/>
  </si>
  <si>
    <t>旧100%</t>
    <phoneticPr fontId="1"/>
  </si>
  <si>
    <t>旧75%</t>
    <phoneticPr fontId="1"/>
  </si>
  <si>
    <t>旧50%</t>
    <phoneticPr fontId="1"/>
  </si>
  <si>
    <t>/4+60</t>
    <phoneticPr fontId="1"/>
  </si>
  <si>
    <t>/4+40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</si>
</sst>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2" borderId="0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</cellXfs>
  <cellStyles count="2">
    <cellStyle name="常规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xp!$E$3:$E$101</c:f>
              <c:numCache>
                <c:formatCode>General</c:formatCode>
                <c:ptCount val="9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  <c:pt idx="49">
                  <c:v>10200</c:v>
                </c:pt>
                <c:pt idx="50">
                  <c:v>10400</c:v>
                </c:pt>
                <c:pt idx="51">
                  <c:v>10600</c:v>
                </c:pt>
                <c:pt idx="52">
                  <c:v>10800</c:v>
                </c:pt>
                <c:pt idx="53">
                  <c:v>11000</c:v>
                </c:pt>
                <c:pt idx="54">
                  <c:v>11200</c:v>
                </c:pt>
                <c:pt idx="55">
                  <c:v>11400</c:v>
                </c:pt>
                <c:pt idx="56">
                  <c:v>11600</c:v>
                </c:pt>
                <c:pt idx="57">
                  <c:v>11800</c:v>
                </c:pt>
                <c:pt idx="58">
                  <c:v>12000</c:v>
                </c:pt>
                <c:pt idx="59">
                  <c:v>12200</c:v>
                </c:pt>
                <c:pt idx="60">
                  <c:v>12400</c:v>
                </c:pt>
                <c:pt idx="61">
                  <c:v>12600</c:v>
                </c:pt>
                <c:pt idx="62">
                  <c:v>12800</c:v>
                </c:pt>
                <c:pt idx="63">
                  <c:v>13000</c:v>
                </c:pt>
                <c:pt idx="64">
                  <c:v>13200</c:v>
                </c:pt>
                <c:pt idx="65">
                  <c:v>13400</c:v>
                </c:pt>
                <c:pt idx="66">
                  <c:v>13600</c:v>
                </c:pt>
                <c:pt idx="67">
                  <c:v>13800</c:v>
                </c:pt>
                <c:pt idx="68">
                  <c:v>14000</c:v>
                </c:pt>
                <c:pt idx="69">
                  <c:v>14200</c:v>
                </c:pt>
                <c:pt idx="70">
                  <c:v>14400</c:v>
                </c:pt>
                <c:pt idx="71">
                  <c:v>14600</c:v>
                </c:pt>
                <c:pt idx="72">
                  <c:v>14800</c:v>
                </c:pt>
                <c:pt idx="73">
                  <c:v>15000</c:v>
                </c:pt>
                <c:pt idx="74">
                  <c:v>15200</c:v>
                </c:pt>
                <c:pt idx="75">
                  <c:v>15400</c:v>
                </c:pt>
                <c:pt idx="76">
                  <c:v>15600</c:v>
                </c:pt>
                <c:pt idx="77">
                  <c:v>15800</c:v>
                </c:pt>
                <c:pt idx="78">
                  <c:v>16000</c:v>
                </c:pt>
                <c:pt idx="79">
                  <c:v>16200</c:v>
                </c:pt>
                <c:pt idx="80">
                  <c:v>16400</c:v>
                </c:pt>
                <c:pt idx="81">
                  <c:v>16600</c:v>
                </c:pt>
                <c:pt idx="82">
                  <c:v>16800</c:v>
                </c:pt>
                <c:pt idx="83">
                  <c:v>17000</c:v>
                </c:pt>
                <c:pt idx="84">
                  <c:v>17200</c:v>
                </c:pt>
                <c:pt idx="85">
                  <c:v>17400</c:v>
                </c:pt>
                <c:pt idx="86">
                  <c:v>17600</c:v>
                </c:pt>
                <c:pt idx="87">
                  <c:v>17800</c:v>
                </c:pt>
                <c:pt idx="88">
                  <c:v>18000</c:v>
                </c:pt>
                <c:pt idx="89">
                  <c:v>18200</c:v>
                </c:pt>
                <c:pt idx="90">
                  <c:v>18400</c:v>
                </c:pt>
                <c:pt idx="91">
                  <c:v>18600</c:v>
                </c:pt>
                <c:pt idx="92">
                  <c:v>18800</c:v>
                </c:pt>
                <c:pt idx="93">
                  <c:v>19000</c:v>
                </c:pt>
                <c:pt idx="94">
                  <c:v>19200</c:v>
                </c:pt>
                <c:pt idx="95">
                  <c:v>19400</c:v>
                </c:pt>
                <c:pt idx="96">
                  <c:v>19600</c:v>
                </c:pt>
                <c:pt idx="97">
                  <c:v>19800</c:v>
                </c:pt>
                <c:pt idx="98">
                  <c:v>20000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30080"/>
        <c:axId val="511615392"/>
      </c:lineChart>
      <c:catAx>
        <c:axId val="51163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1615392"/>
        <c:crosses val="autoZero"/>
        <c:auto val="1"/>
        <c:lblAlgn val="ctr"/>
        <c:lblOffset val="100"/>
        <c:noMultiLvlLbl val="0"/>
      </c:catAx>
      <c:valAx>
        <c:axId val="51161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163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killXP!$C$1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killXP!$C$2:$C$101</c:f>
              <c:numCache>
                <c:formatCode>General</c:formatCode>
                <c:ptCount val="10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5709.8</c:v>
                </c:pt>
                <c:pt idx="31">
                  <c:v>5965.8</c:v>
                </c:pt>
                <c:pt idx="32">
                  <c:v>6229.8</c:v>
                </c:pt>
                <c:pt idx="33">
                  <c:v>6501.8</c:v>
                </c:pt>
                <c:pt idx="34">
                  <c:v>6781.8</c:v>
                </c:pt>
                <c:pt idx="35">
                  <c:v>7069.8</c:v>
                </c:pt>
                <c:pt idx="36">
                  <c:v>7365.8</c:v>
                </c:pt>
                <c:pt idx="37">
                  <c:v>7669.8</c:v>
                </c:pt>
                <c:pt idx="38">
                  <c:v>7981.8</c:v>
                </c:pt>
                <c:pt idx="39">
                  <c:v>8301.7999999999993</c:v>
                </c:pt>
                <c:pt idx="40">
                  <c:v>8629.7999999999993</c:v>
                </c:pt>
                <c:pt idx="41">
                  <c:v>8965.7999999999993</c:v>
                </c:pt>
                <c:pt idx="42">
                  <c:v>9309.7999999999993</c:v>
                </c:pt>
                <c:pt idx="43">
                  <c:v>9661.7999999999993</c:v>
                </c:pt>
                <c:pt idx="44">
                  <c:v>10021.799999999999</c:v>
                </c:pt>
                <c:pt idx="45">
                  <c:v>10389.799999999999</c:v>
                </c:pt>
                <c:pt idx="46">
                  <c:v>10765.8</c:v>
                </c:pt>
                <c:pt idx="47">
                  <c:v>11149.8</c:v>
                </c:pt>
                <c:pt idx="48">
                  <c:v>11541.8</c:v>
                </c:pt>
                <c:pt idx="49">
                  <c:v>11941.800000000001</c:v>
                </c:pt>
                <c:pt idx="50">
                  <c:v>12349.800000000001</c:v>
                </c:pt>
                <c:pt idx="51">
                  <c:v>12765.800000000001</c:v>
                </c:pt>
                <c:pt idx="52">
                  <c:v>13189.800000000001</c:v>
                </c:pt>
                <c:pt idx="53">
                  <c:v>13621.800000000001</c:v>
                </c:pt>
                <c:pt idx="54">
                  <c:v>14061.800000000001</c:v>
                </c:pt>
                <c:pt idx="55">
                  <c:v>14509.800000000001</c:v>
                </c:pt>
                <c:pt idx="56">
                  <c:v>14965.800000000001</c:v>
                </c:pt>
                <c:pt idx="57">
                  <c:v>15429.800000000001</c:v>
                </c:pt>
                <c:pt idx="58">
                  <c:v>15901.800000000001</c:v>
                </c:pt>
                <c:pt idx="59">
                  <c:v>16381.800000000001</c:v>
                </c:pt>
                <c:pt idx="60">
                  <c:v>16869.800000000003</c:v>
                </c:pt>
                <c:pt idx="61">
                  <c:v>17365.800000000003</c:v>
                </c:pt>
                <c:pt idx="62">
                  <c:v>17869.800000000003</c:v>
                </c:pt>
                <c:pt idx="63">
                  <c:v>18381.800000000003</c:v>
                </c:pt>
                <c:pt idx="64">
                  <c:v>18901.800000000003</c:v>
                </c:pt>
                <c:pt idx="65">
                  <c:v>19429.8</c:v>
                </c:pt>
                <c:pt idx="66">
                  <c:v>19965.8</c:v>
                </c:pt>
                <c:pt idx="67">
                  <c:v>20509.8</c:v>
                </c:pt>
                <c:pt idx="68">
                  <c:v>21061.8</c:v>
                </c:pt>
                <c:pt idx="69">
                  <c:v>21621.8</c:v>
                </c:pt>
                <c:pt idx="70">
                  <c:v>22189.8</c:v>
                </c:pt>
                <c:pt idx="71">
                  <c:v>22765.8</c:v>
                </c:pt>
                <c:pt idx="72">
                  <c:v>23349.8</c:v>
                </c:pt>
                <c:pt idx="73">
                  <c:v>23941.8</c:v>
                </c:pt>
                <c:pt idx="74">
                  <c:v>24541.8</c:v>
                </c:pt>
                <c:pt idx="75">
                  <c:v>25149.8</c:v>
                </c:pt>
                <c:pt idx="76">
                  <c:v>25765.8</c:v>
                </c:pt>
                <c:pt idx="77">
                  <c:v>26389.8</c:v>
                </c:pt>
                <c:pt idx="78">
                  <c:v>27021.8</c:v>
                </c:pt>
                <c:pt idx="79">
                  <c:v>27661.8</c:v>
                </c:pt>
                <c:pt idx="80">
                  <c:v>28309.8</c:v>
                </c:pt>
                <c:pt idx="81">
                  <c:v>28965.8</c:v>
                </c:pt>
                <c:pt idx="82">
                  <c:v>29629.8</c:v>
                </c:pt>
                <c:pt idx="83">
                  <c:v>30301.8</c:v>
                </c:pt>
                <c:pt idx="84">
                  <c:v>30981.8</c:v>
                </c:pt>
                <c:pt idx="85">
                  <c:v>31669.8</c:v>
                </c:pt>
                <c:pt idx="86">
                  <c:v>32365.8</c:v>
                </c:pt>
                <c:pt idx="87">
                  <c:v>33069.800000000003</c:v>
                </c:pt>
                <c:pt idx="88">
                  <c:v>33781.800000000003</c:v>
                </c:pt>
                <c:pt idx="89">
                  <c:v>34501.800000000003</c:v>
                </c:pt>
                <c:pt idx="90">
                  <c:v>35229.800000000003</c:v>
                </c:pt>
                <c:pt idx="91">
                  <c:v>35965.800000000003</c:v>
                </c:pt>
                <c:pt idx="92">
                  <c:v>36709.800000000003</c:v>
                </c:pt>
                <c:pt idx="93">
                  <c:v>37461.800000000003</c:v>
                </c:pt>
                <c:pt idx="94">
                  <c:v>38221.800000000003</c:v>
                </c:pt>
                <c:pt idx="95">
                  <c:v>38989.800000000003</c:v>
                </c:pt>
                <c:pt idx="96">
                  <c:v>39765.800000000003</c:v>
                </c:pt>
                <c:pt idx="97">
                  <c:v>40549.800000000003</c:v>
                </c:pt>
                <c:pt idx="98">
                  <c:v>41341.800000000003</c:v>
                </c:pt>
                <c:pt idx="99">
                  <c:v>42141.8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9088752"/>
        <c:axId val="769080048"/>
      </c:barChart>
      <c:lineChart>
        <c:grouping val="standard"/>
        <c:varyColors val="0"/>
        <c:ser>
          <c:idx val="2"/>
          <c:order val="2"/>
          <c:tx>
            <c:strRef>
              <c:f>killXP!$E$1</c:f>
              <c:strCache>
                <c:ptCount val="1"/>
                <c:pt idx="0">
                  <c:v>单杀升级%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killXP!$E$2:$E$101</c:f>
              <c:numCache>
                <c:formatCode>0.00%</c:formatCode>
                <c:ptCount val="10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0.89215624999999998</c:v>
                </c:pt>
                <c:pt idx="31">
                  <c:v>0.90390909090909088</c:v>
                </c:pt>
                <c:pt idx="32">
                  <c:v>0.91614705882352943</c:v>
                </c:pt>
                <c:pt idx="33">
                  <c:v>0.92882857142857145</c:v>
                </c:pt>
                <c:pt idx="34">
                  <c:v>0.94191666666666674</c:v>
                </c:pt>
                <c:pt idx="35">
                  <c:v>0.95537837837837836</c:v>
                </c:pt>
                <c:pt idx="36">
                  <c:v>0.96918421052631576</c:v>
                </c:pt>
                <c:pt idx="37">
                  <c:v>0.98330769230769233</c:v>
                </c:pt>
                <c:pt idx="38">
                  <c:v>0.99772499999999997</c:v>
                </c:pt>
                <c:pt idx="39">
                  <c:v>1.0124146341463414</c:v>
                </c:pt>
                <c:pt idx="40">
                  <c:v>1.0273571428571429</c:v>
                </c:pt>
                <c:pt idx="41">
                  <c:v>1.0425348837209301</c:v>
                </c:pt>
                <c:pt idx="42">
                  <c:v>1.057931818181818</c:v>
                </c:pt>
                <c:pt idx="43">
                  <c:v>1.0735333333333332</c:v>
                </c:pt>
                <c:pt idx="44">
                  <c:v>1.0893260869565216</c:v>
                </c:pt>
                <c:pt idx="45">
                  <c:v>1.1052978723404254</c:v>
                </c:pt>
                <c:pt idx="46">
                  <c:v>1.1214374999999999</c:v>
                </c:pt>
                <c:pt idx="47">
                  <c:v>1.137734693877551</c:v>
                </c:pt>
                <c:pt idx="48">
                  <c:v>1.15418</c:v>
                </c:pt>
                <c:pt idx="49">
                  <c:v>1.1707647058823532</c:v>
                </c:pt>
                <c:pt idx="50">
                  <c:v>1.1874807692307694</c:v>
                </c:pt>
                <c:pt idx="51">
                  <c:v>1.2043207547169812</c:v>
                </c:pt>
                <c:pt idx="52">
                  <c:v>1.2212777777777779</c:v>
                </c:pt>
                <c:pt idx="53">
                  <c:v>1.2383454545454546</c:v>
                </c:pt>
                <c:pt idx="54">
                  <c:v>1.2555178571428571</c:v>
                </c:pt>
                <c:pt idx="55">
                  <c:v>1.2727894736842107</c:v>
                </c:pt>
                <c:pt idx="56">
                  <c:v>1.2901551724137932</c:v>
                </c:pt>
                <c:pt idx="57">
                  <c:v>1.3076101694915254</c:v>
                </c:pt>
                <c:pt idx="58">
                  <c:v>1.3251500000000001</c:v>
                </c:pt>
                <c:pt idx="59">
                  <c:v>1.3427704918032788</c:v>
                </c:pt>
                <c:pt idx="60">
                  <c:v>1.360467741935484</c:v>
                </c:pt>
                <c:pt idx="61">
                  <c:v>1.3782380952380955</c:v>
                </c:pt>
                <c:pt idx="62">
                  <c:v>1.3960781250000003</c:v>
                </c:pt>
                <c:pt idx="63">
                  <c:v>1.4139846153846156</c:v>
                </c:pt>
                <c:pt idx="64">
                  <c:v>1.4319545454545457</c:v>
                </c:pt>
                <c:pt idx="65">
                  <c:v>1.4499850746268657</c:v>
                </c:pt>
                <c:pt idx="66">
                  <c:v>1.4680735294117646</c:v>
                </c:pt>
                <c:pt idx="67">
                  <c:v>1.4862173913043477</c:v>
                </c:pt>
                <c:pt idx="68">
                  <c:v>1.5044142857142857</c:v>
                </c:pt>
                <c:pt idx="69">
                  <c:v>1.5226619718309859</c:v>
                </c:pt>
                <c:pt idx="70">
                  <c:v>1.5409583333333332</c:v>
                </c:pt>
                <c:pt idx="71">
                  <c:v>1.5593013698630136</c:v>
                </c:pt>
                <c:pt idx="72">
                  <c:v>1.5776891891891891</c:v>
                </c:pt>
                <c:pt idx="73">
                  <c:v>1.59612</c:v>
                </c:pt>
                <c:pt idx="74">
                  <c:v>1.6145921052631578</c:v>
                </c:pt>
                <c:pt idx="75">
                  <c:v>1.6331038961038959</c:v>
                </c:pt>
                <c:pt idx="76">
                  <c:v>1.6516538461538461</c:v>
                </c:pt>
                <c:pt idx="77">
                  <c:v>1.6702405063291139</c:v>
                </c:pt>
                <c:pt idx="78">
                  <c:v>1.6888624999999999</c:v>
                </c:pt>
                <c:pt idx="79">
                  <c:v>1.7075185185185184</c:v>
                </c:pt>
                <c:pt idx="80">
                  <c:v>1.7262073170731707</c:v>
                </c:pt>
                <c:pt idx="81">
                  <c:v>1.7449277108433734</c:v>
                </c:pt>
                <c:pt idx="82">
                  <c:v>1.7636785714285714</c:v>
                </c:pt>
                <c:pt idx="83">
                  <c:v>1.7824588235294117</c:v>
                </c:pt>
                <c:pt idx="84">
                  <c:v>1.8012674418604651</c:v>
                </c:pt>
                <c:pt idx="85">
                  <c:v>1.820103448275862</c:v>
                </c:pt>
                <c:pt idx="86">
                  <c:v>1.838965909090909</c:v>
                </c:pt>
                <c:pt idx="87">
                  <c:v>1.8578539325842698</c:v>
                </c:pt>
                <c:pt idx="88">
                  <c:v>1.8767666666666669</c:v>
                </c:pt>
                <c:pt idx="89">
                  <c:v>1.895703296703297</c:v>
                </c:pt>
                <c:pt idx="90">
                  <c:v>1.914663043478261</c:v>
                </c:pt>
                <c:pt idx="91">
                  <c:v>1.9336451612903227</c:v>
                </c:pt>
                <c:pt idx="92">
                  <c:v>1.9526489361702128</c:v>
                </c:pt>
                <c:pt idx="93">
                  <c:v>1.9716736842105265</c:v>
                </c:pt>
                <c:pt idx="94">
                  <c:v>1.9907187500000001</c:v>
                </c:pt>
                <c:pt idx="95">
                  <c:v>2.0097835051546391</c:v>
                </c:pt>
                <c:pt idx="96">
                  <c:v>2.0288673469387755</c:v>
                </c:pt>
                <c:pt idx="97">
                  <c:v>2.0479696969696972</c:v>
                </c:pt>
                <c:pt idx="98">
                  <c:v>2.0670900000000003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killXP!$F$1</c:f>
              <c:strCache>
                <c:ptCount val="1"/>
                <c:pt idx="0">
                  <c:v>杀100级升级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killXP!$F$2:$F$101</c:f>
              <c:numCache>
                <c:formatCode>0.00%</c:formatCode>
                <c:ptCount val="100"/>
                <c:pt idx="29">
                  <c:v>6.7970645161290326</c:v>
                </c:pt>
                <c:pt idx="30">
                  <c:v>6.5846562500000001</c:v>
                </c:pt>
                <c:pt idx="31">
                  <c:v>6.3851212121212129</c:v>
                </c:pt>
                <c:pt idx="32">
                  <c:v>6.197323529411765</c:v>
                </c:pt>
                <c:pt idx="33">
                  <c:v>6.020257142857143</c:v>
                </c:pt>
                <c:pt idx="34">
                  <c:v>5.8530277777777782</c:v>
                </c:pt>
                <c:pt idx="35">
                  <c:v>5.6948378378378379</c:v>
                </c:pt>
                <c:pt idx="36">
                  <c:v>5.5449736842105271</c:v>
                </c:pt>
                <c:pt idx="37">
                  <c:v>5.4027948717948719</c:v>
                </c:pt>
                <c:pt idx="38">
                  <c:v>5.2677250000000004</c:v>
                </c:pt>
                <c:pt idx="39">
                  <c:v>5.1392439024390244</c:v>
                </c:pt>
                <c:pt idx="40">
                  <c:v>5.0168809523809523</c:v>
                </c:pt>
                <c:pt idx="41">
                  <c:v>4.9002093023255817</c:v>
                </c:pt>
                <c:pt idx="42">
                  <c:v>4.7888409090909096</c:v>
                </c:pt>
                <c:pt idx="43">
                  <c:v>4.6824222222222227</c:v>
                </c:pt>
                <c:pt idx="44">
                  <c:v>4.5806304347826092</c:v>
                </c:pt>
                <c:pt idx="45">
                  <c:v>4.4831702127659581</c:v>
                </c:pt>
                <c:pt idx="46">
                  <c:v>4.3897708333333334</c:v>
                </c:pt>
                <c:pt idx="47">
                  <c:v>4.3001836734693883</c:v>
                </c:pt>
                <c:pt idx="48">
                  <c:v>4.2141800000000007</c:v>
                </c:pt>
                <c:pt idx="49">
                  <c:v>4.131549019607843</c:v>
                </c:pt>
                <c:pt idx="50">
                  <c:v>4.0520961538461542</c:v>
                </c:pt>
                <c:pt idx="51">
                  <c:v>3.9756415094339626</c:v>
                </c:pt>
                <c:pt idx="52">
                  <c:v>3.9020185185185188</c:v>
                </c:pt>
                <c:pt idx="53">
                  <c:v>3.8310727272727276</c:v>
                </c:pt>
                <c:pt idx="54">
                  <c:v>3.7626607142857145</c:v>
                </c:pt>
                <c:pt idx="55">
                  <c:v>3.6966491228070177</c:v>
                </c:pt>
                <c:pt idx="56">
                  <c:v>3.6329137931034485</c:v>
                </c:pt>
                <c:pt idx="57">
                  <c:v>3.5713389830508477</c:v>
                </c:pt>
                <c:pt idx="58">
                  <c:v>3.5118166666666668</c:v>
                </c:pt>
                <c:pt idx="59">
                  <c:v>3.4542459016393443</c:v>
                </c:pt>
                <c:pt idx="60">
                  <c:v>3.3985322580645163</c:v>
                </c:pt>
                <c:pt idx="61">
                  <c:v>3.344587301587302</c:v>
                </c:pt>
                <c:pt idx="62">
                  <c:v>3.292328125</c:v>
                </c:pt>
                <c:pt idx="63">
                  <c:v>3.2416769230769233</c:v>
                </c:pt>
                <c:pt idx="64">
                  <c:v>3.1925606060606064</c:v>
                </c:pt>
                <c:pt idx="65">
                  <c:v>3.1449104477611942</c:v>
                </c:pt>
                <c:pt idx="66">
                  <c:v>3.0986617647058825</c:v>
                </c:pt>
                <c:pt idx="67">
                  <c:v>3.0537536231884062</c:v>
                </c:pt>
                <c:pt idx="68">
                  <c:v>3.0101285714285715</c:v>
                </c:pt>
                <c:pt idx="69">
                  <c:v>2.9677323943661973</c:v>
                </c:pt>
                <c:pt idx="70">
                  <c:v>2.9265138888888891</c:v>
                </c:pt>
                <c:pt idx="71">
                  <c:v>2.8864246575342469</c:v>
                </c:pt>
                <c:pt idx="72">
                  <c:v>2.847418918918919</c:v>
                </c:pt>
                <c:pt idx="73">
                  <c:v>2.8094533333333334</c:v>
                </c:pt>
                <c:pt idx="74">
                  <c:v>2.7724868421052635</c:v>
                </c:pt>
                <c:pt idx="75">
                  <c:v>2.7364805194805197</c:v>
                </c:pt>
                <c:pt idx="76">
                  <c:v>2.701397435897436</c:v>
                </c:pt>
                <c:pt idx="77">
                  <c:v>2.6672025316455699</c:v>
                </c:pt>
                <c:pt idx="78">
                  <c:v>2.6338625000000002</c:v>
                </c:pt>
                <c:pt idx="79">
                  <c:v>2.6013456790123457</c:v>
                </c:pt>
                <c:pt idx="80">
                  <c:v>2.5696219512195122</c:v>
                </c:pt>
                <c:pt idx="81">
                  <c:v>2.5386626506024097</c:v>
                </c:pt>
                <c:pt idx="82">
                  <c:v>2.5084404761904762</c:v>
                </c:pt>
                <c:pt idx="83">
                  <c:v>2.4789294117647063</c:v>
                </c:pt>
                <c:pt idx="84">
                  <c:v>2.4501046511627909</c:v>
                </c:pt>
                <c:pt idx="85">
                  <c:v>2.4219425287356322</c:v>
                </c:pt>
                <c:pt idx="86">
                  <c:v>2.3944204545454548</c:v>
                </c:pt>
                <c:pt idx="87">
                  <c:v>2.3675168539325844</c:v>
                </c:pt>
                <c:pt idx="88">
                  <c:v>2.3412111111111114</c:v>
                </c:pt>
                <c:pt idx="89">
                  <c:v>2.3154835164835168</c:v>
                </c:pt>
                <c:pt idx="90">
                  <c:v>2.2903152173913046</c:v>
                </c:pt>
                <c:pt idx="91">
                  <c:v>2.2656881720430109</c:v>
                </c:pt>
                <c:pt idx="92">
                  <c:v>2.241585106382979</c:v>
                </c:pt>
                <c:pt idx="93">
                  <c:v>2.2179894736842107</c:v>
                </c:pt>
                <c:pt idx="94">
                  <c:v>2.1948854166666667</c:v>
                </c:pt>
                <c:pt idx="95">
                  <c:v>2.172257731958763</c:v>
                </c:pt>
                <c:pt idx="96">
                  <c:v>2.1500918367346942</c:v>
                </c:pt>
                <c:pt idx="97">
                  <c:v>2.1283737373737375</c:v>
                </c:pt>
                <c:pt idx="98">
                  <c:v>2.1070900000000004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killXP!$D$1</c:f>
              <c:strCache>
                <c:ptCount val="1"/>
                <c:pt idx="0">
                  <c:v>修正前%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killXP!$D$2:$D$100</c:f>
              <c:numCache>
                <c:formatCode>0.00%</c:formatCode>
                <c:ptCount val="99"/>
                <c:pt idx="0">
                  <c:v>0.22222222222222221</c:v>
                </c:pt>
                <c:pt idx="1">
                  <c:v>0.16484848484848486</c:v>
                </c:pt>
                <c:pt idx="2">
                  <c:v>0.17955555555555558</c:v>
                </c:pt>
                <c:pt idx="3">
                  <c:v>0.20857142857142857</c:v>
                </c:pt>
                <c:pt idx="4">
                  <c:v>0.27389830508474577</c:v>
                </c:pt>
                <c:pt idx="5">
                  <c:v>0.28216216216216217</c:v>
                </c:pt>
                <c:pt idx="6">
                  <c:v>0.3392405063291139</c:v>
                </c:pt>
                <c:pt idx="7">
                  <c:v>0.39428571428571429</c:v>
                </c:pt>
                <c:pt idx="8">
                  <c:v>0.4476404494382023</c:v>
                </c:pt>
                <c:pt idx="9">
                  <c:v>0.49957446808510642</c:v>
                </c:pt>
                <c:pt idx="10">
                  <c:v>0.5091588785046729</c:v>
                </c:pt>
                <c:pt idx="11">
                  <c:v>0.52533333333333332</c:v>
                </c:pt>
                <c:pt idx="12">
                  <c:v>0.50975438596491229</c:v>
                </c:pt>
                <c:pt idx="13">
                  <c:v>0.54219354838709677</c:v>
                </c:pt>
                <c:pt idx="14">
                  <c:v>0.57576119402985071</c:v>
                </c:pt>
                <c:pt idx="15">
                  <c:v>0.61022222222222222</c:v>
                </c:pt>
                <c:pt idx="16">
                  <c:v>0.64540259740259742</c:v>
                </c:pt>
                <c:pt idx="17">
                  <c:v>0.69820000000000004</c:v>
                </c:pt>
                <c:pt idx="18">
                  <c:v>0.74468899521531107</c:v>
                </c:pt>
                <c:pt idx="19">
                  <c:v>0.8207619047619048</c:v>
                </c:pt>
                <c:pt idx="20">
                  <c:v>0.80493617021276598</c:v>
                </c:pt>
                <c:pt idx="21">
                  <c:v>0.79984615384615398</c:v>
                </c:pt>
                <c:pt idx="22">
                  <c:v>0.80266666666666664</c:v>
                </c:pt>
                <c:pt idx="23">
                  <c:v>0.81148387096774188</c:v>
                </c:pt>
                <c:pt idx="24">
                  <c:v>0.78959999999999997</c:v>
                </c:pt>
                <c:pt idx="25">
                  <c:v>0.67635555555555549</c:v>
                </c:pt>
                <c:pt idx="26">
                  <c:v>0.61883636363636363</c:v>
                </c:pt>
                <c:pt idx="27">
                  <c:v>0.59132307692307695</c:v>
                </c:pt>
                <c:pt idx="28">
                  <c:v>0.5818133333333334</c:v>
                </c:pt>
                <c:pt idx="29">
                  <c:v>0.80058064516129035</c:v>
                </c:pt>
                <c:pt idx="30">
                  <c:v>0.85306250000000006</c:v>
                </c:pt>
                <c:pt idx="31">
                  <c:v>0.90478787878787881</c:v>
                </c:pt>
                <c:pt idx="32">
                  <c:v>0.95582352941176474</c:v>
                </c:pt>
                <c:pt idx="33">
                  <c:v>1.0062285714285715</c:v>
                </c:pt>
                <c:pt idx="34">
                  <c:v>1.0560555555555555</c:v>
                </c:pt>
                <c:pt idx="35">
                  <c:v>1.1053513513513513</c:v>
                </c:pt>
                <c:pt idx="36">
                  <c:v>1.154157894736842</c:v>
                </c:pt>
                <c:pt idx="37">
                  <c:v>1.2025128205128206</c:v>
                </c:pt>
                <c:pt idx="38">
                  <c:v>1.2504500000000001</c:v>
                </c:pt>
                <c:pt idx="39">
                  <c:v>1.298</c:v>
                </c:pt>
                <c:pt idx="40">
                  <c:v>1.3451904761904763</c:v>
                </c:pt>
                <c:pt idx="41">
                  <c:v>1.392046511627907</c:v>
                </c:pt>
                <c:pt idx="42">
                  <c:v>1.438590909090909</c:v>
                </c:pt>
                <c:pt idx="43">
                  <c:v>1.4848444444444444</c:v>
                </c:pt>
                <c:pt idx="44">
                  <c:v>1.5308260869565218</c:v>
                </c:pt>
                <c:pt idx="45">
                  <c:v>1.5765531914893618</c:v>
                </c:pt>
                <c:pt idx="46">
                  <c:v>1.6220416666666666</c:v>
                </c:pt>
                <c:pt idx="47">
                  <c:v>1.6673061224489796</c:v>
                </c:pt>
                <c:pt idx="48">
                  <c:v>1.7123599999999999</c:v>
                </c:pt>
                <c:pt idx="49">
                  <c:v>1.7572156862745101</c:v>
                </c:pt>
                <c:pt idx="50">
                  <c:v>1.8018846153846155</c:v>
                </c:pt>
                <c:pt idx="51">
                  <c:v>1.8463773584905663</c:v>
                </c:pt>
                <c:pt idx="52">
                  <c:v>1.890703703703704</c:v>
                </c:pt>
                <c:pt idx="53">
                  <c:v>1.9348727272727275</c:v>
                </c:pt>
                <c:pt idx="54">
                  <c:v>1.9788928571428572</c:v>
                </c:pt>
                <c:pt idx="55">
                  <c:v>2.0227719298245614</c:v>
                </c:pt>
                <c:pt idx="56">
                  <c:v>2.0665172413793105</c:v>
                </c:pt>
                <c:pt idx="57">
                  <c:v>2.1101355932203392</c:v>
                </c:pt>
                <c:pt idx="58">
                  <c:v>2.1536333333333335</c:v>
                </c:pt>
                <c:pt idx="59">
                  <c:v>2.197016393442623</c:v>
                </c:pt>
                <c:pt idx="60">
                  <c:v>2.2402903225806452</c:v>
                </c:pt>
                <c:pt idx="61">
                  <c:v>2.2834603174603174</c:v>
                </c:pt>
                <c:pt idx="62">
                  <c:v>2.3265312500000004</c:v>
                </c:pt>
                <c:pt idx="63">
                  <c:v>2.3695076923076925</c:v>
                </c:pt>
                <c:pt idx="64">
                  <c:v>2.4123939393939398</c:v>
                </c:pt>
                <c:pt idx="65">
                  <c:v>2.455194029850746</c:v>
                </c:pt>
                <c:pt idx="66">
                  <c:v>2.4979117647058824</c:v>
                </c:pt>
                <c:pt idx="67">
                  <c:v>2.5405507246376811</c:v>
                </c:pt>
                <c:pt idx="68">
                  <c:v>2.5831142857142857</c:v>
                </c:pt>
                <c:pt idx="69">
                  <c:v>2.6256056338028166</c:v>
                </c:pt>
                <c:pt idx="70">
                  <c:v>2.6680277777777777</c:v>
                </c:pt>
                <c:pt idx="71">
                  <c:v>2.7103835616438356</c:v>
                </c:pt>
                <c:pt idx="72">
                  <c:v>2.7526756756756754</c:v>
                </c:pt>
                <c:pt idx="73">
                  <c:v>2.7949066666666664</c:v>
                </c:pt>
                <c:pt idx="74">
                  <c:v>2.837078947368421</c:v>
                </c:pt>
                <c:pt idx="75">
                  <c:v>2.8791948051948051</c:v>
                </c:pt>
                <c:pt idx="76">
                  <c:v>2.9212564102564103</c:v>
                </c:pt>
                <c:pt idx="77">
                  <c:v>2.9632658227848099</c:v>
                </c:pt>
                <c:pt idx="78">
                  <c:v>3.0052249999999998</c:v>
                </c:pt>
                <c:pt idx="79">
                  <c:v>3.0471358024691355</c:v>
                </c:pt>
                <c:pt idx="80">
                  <c:v>3.089</c:v>
                </c:pt>
                <c:pt idx="81">
                  <c:v>3.1308192771084338</c:v>
                </c:pt>
                <c:pt idx="82">
                  <c:v>3.172595238095238</c:v>
                </c:pt>
                <c:pt idx="83">
                  <c:v>3.2143294117647057</c:v>
                </c:pt>
                <c:pt idx="84">
                  <c:v>3.2560232558139535</c:v>
                </c:pt>
                <c:pt idx="85">
                  <c:v>3.2976781609195402</c:v>
                </c:pt>
                <c:pt idx="86">
                  <c:v>3.3392954545454545</c:v>
                </c:pt>
                <c:pt idx="87">
                  <c:v>3.3808764044943818</c:v>
                </c:pt>
                <c:pt idx="88">
                  <c:v>3.422422222222222</c:v>
                </c:pt>
                <c:pt idx="89">
                  <c:v>3.4639340659340658</c:v>
                </c:pt>
                <c:pt idx="90">
                  <c:v>3.5054130434782609</c:v>
                </c:pt>
                <c:pt idx="91">
                  <c:v>3.5468602150537638</c:v>
                </c:pt>
                <c:pt idx="92">
                  <c:v>3.5882765957446812</c:v>
                </c:pt>
                <c:pt idx="93">
                  <c:v>3.6296631578947371</c:v>
                </c:pt>
                <c:pt idx="94">
                  <c:v>3.6710208333333338</c:v>
                </c:pt>
                <c:pt idx="95">
                  <c:v>3.712350515463918</c:v>
                </c:pt>
                <c:pt idx="96">
                  <c:v>3.7536530612244903</c:v>
                </c:pt>
                <c:pt idx="97">
                  <c:v>3.794929292929293</c:v>
                </c:pt>
                <c:pt idx="98">
                  <c:v>3.8361800000000001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084400"/>
        <c:axId val="769077872"/>
      </c:lineChart>
      <c:lineChart>
        <c:grouping val="standard"/>
        <c:varyColors val="0"/>
        <c:ser>
          <c:idx val="0"/>
          <c:order val="1"/>
          <c:tx>
            <c:strRef>
              <c:f>killXP!$B$1</c:f>
              <c:strCache>
                <c:ptCount val="1"/>
                <c:pt idx="0">
                  <c:v>修正前XP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killXP!$B$2:$B$101</c:f>
              <c:numCache>
                <c:formatCode>General</c:formatCode>
                <c:ptCount val="100"/>
                <c:pt idx="0">
                  <c:v>40</c:v>
                </c:pt>
                <c:pt idx="1">
                  <c:v>54.4</c:v>
                </c:pt>
                <c:pt idx="2">
                  <c:v>80.800000000000011</c:v>
                </c:pt>
                <c:pt idx="3">
                  <c:v>116.8</c:v>
                </c:pt>
                <c:pt idx="4">
                  <c:v>161.60000000000002</c:v>
                </c:pt>
                <c:pt idx="5">
                  <c:v>208.8</c:v>
                </c:pt>
                <c:pt idx="6">
                  <c:v>268</c:v>
                </c:pt>
                <c:pt idx="7">
                  <c:v>331.2</c:v>
                </c:pt>
                <c:pt idx="8">
                  <c:v>398.40000000000003</c:v>
                </c:pt>
                <c:pt idx="9">
                  <c:v>469.6</c:v>
                </c:pt>
                <c:pt idx="10">
                  <c:v>544.79999999999995</c:v>
                </c:pt>
                <c:pt idx="11">
                  <c:v>630.4</c:v>
                </c:pt>
                <c:pt idx="12">
                  <c:v>726.4</c:v>
                </c:pt>
                <c:pt idx="13">
                  <c:v>840.4</c:v>
                </c:pt>
                <c:pt idx="14">
                  <c:v>964.4</c:v>
                </c:pt>
                <c:pt idx="15">
                  <c:v>1098.4000000000001</c:v>
                </c:pt>
                <c:pt idx="16">
                  <c:v>1242.4000000000001</c:v>
                </c:pt>
                <c:pt idx="17">
                  <c:v>1396.4</c:v>
                </c:pt>
                <c:pt idx="18">
                  <c:v>1556.4</c:v>
                </c:pt>
                <c:pt idx="19">
                  <c:v>1723.6000000000001</c:v>
                </c:pt>
                <c:pt idx="20">
                  <c:v>1891.6000000000001</c:v>
                </c:pt>
                <c:pt idx="21">
                  <c:v>2079.6000000000004</c:v>
                </c:pt>
                <c:pt idx="22">
                  <c:v>2287.6</c:v>
                </c:pt>
                <c:pt idx="23">
                  <c:v>2515.6</c:v>
                </c:pt>
                <c:pt idx="24">
                  <c:v>2763.6</c:v>
                </c:pt>
                <c:pt idx="25">
                  <c:v>3043.6</c:v>
                </c:pt>
                <c:pt idx="26">
                  <c:v>3403.6</c:v>
                </c:pt>
                <c:pt idx="27">
                  <c:v>3843.6</c:v>
                </c:pt>
                <c:pt idx="28">
                  <c:v>4363.6000000000004</c:v>
                </c:pt>
                <c:pt idx="29">
                  <c:v>4963.6000000000004</c:v>
                </c:pt>
                <c:pt idx="30">
                  <c:v>5459.6</c:v>
                </c:pt>
                <c:pt idx="31">
                  <c:v>5971.6</c:v>
                </c:pt>
                <c:pt idx="32">
                  <c:v>6499.6</c:v>
                </c:pt>
                <c:pt idx="33">
                  <c:v>7043.6</c:v>
                </c:pt>
                <c:pt idx="34">
                  <c:v>7603.6</c:v>
                </c:pt>
                <c:pt idx="35">
                  <c:v>8179.6</c:v>
                </c:pt>
                <c:pt idx="36">
                  <c:v>8771.6</c:v>
                </c:pt>
                <c:pt idx="37">
                  <c:v>9379.6</c:v>
                </c:pt>
                <c:pt idx="38">
                  <c:v>10003.6</c:v>
                </c:pt>
                <c:pt idx="39">
                  <c:v>10643.6</c:v>
                </c:pt>
                <c:pt idx="40">
                  <c:v>11299.6</c:v>
                </c:pt>
                <c:pt idx="41">
                  <c:v>11971.6</c:v>
                </c:pt>
                <c:pt idx="42">
                  <c:v>12659.6</c:v>
                </c:pt>
                <c:pt idx="43">
                  <c:v>13363.6</c:v>
                </c:pt>
                <c:pt idx="44">
                  <c:v>14083.6</c:v>
                </c:pt>
                <c:pt idx="45">
                  <c:v>14819.6</c:v>
                </c:pt>
                <c:pt idx="46">
                  <c:v>15571.6</c:v>
                </c:pt>
                <c:pt idx="47">
                  <c:v>16339.6</c:v>
                </c:pt>
                <c:pt idx="48">
                  <c:v>17123.599999999999</c:v>
                </c:pt>
                <c:pt idx="49">
                  <c:v>17923.600000000002</c:v>
                </c:pt>
                <c:pt idx="50">
                  <c:v>18739.600000000002</c:v>
                </c:pt>
                <c:pt idx="51">
                  <c:v>19571.600000000002</c:v>
                </c:pt>
                <c:pt idx="52">
                  <c:v>20419.600000000002</c:v>
                </c:pt>
                <c:pt idx="53">
                  <c:v>21283.600000000002</c:v>
                </c:pt>
                <c:pt idx="54">
                  <c:v>22163.600000000002</c:v>
                </c:pt>
                <c:pt idx="55">
                  <c:v>23059.600000000002</c:v>
                </c:pt>
                <c:pt idx="56">
                  <c:v>23971.600000000002</c:v>
                </c:pt>
                <c:pt idx="57">
                  <c:v>24899.600000000002</c:v>
                </c:pt>
                <c:pt idx="58">
                  <c:v>25843.600000000002</c:v>
                </c:pt>
                <c:pt idx="59">
                  <c:v>26803.600000000002</c:v>
                </c:pt>
                <c:pt idx="60">
                  <c:v>27779.600000000002</c:v>
                </c:pt>
                <c:pt idx="61">
                  <c:v>28771.600000000002</c:v>
                </c:pt>
                <c:pt idx="62">
                  <c:v>29779.600000000002</c:v>
                </c:pt>
                <c:pt idx="63">
                  <c:v>30803.600000000002</c:v>
                </c:pt>
                <c:pt idx="64">
                  <c:v>31843.600000000002</c:v>
                </c:pt>
                <c:pt idx="65">
                  <c:v>32899.599999999999</c:v>
                </c:pt>
                <c:pt idx="66">
                  <c:v>33971.599999999999</c:v>
                </c:pt>
                <c:pt idx="67">
                  <c:v>35059.599999999999</c:v>
                </c:pt>
                <c:pt idx="68">
                  <c:v>36163.599999999999</c:v>
                </c:pt>
                <c:pt idx="69">
                  <c:v>37283.599999999999</c:v>
                </c:pt>
                <c:pt idx="70">
                  <c:v>38419.599999999999</c:v>
                </c:pt>
                <c:pt idx="71">
                  <c:v>39571.599999999999</c:v>
                </c:pt>
                <c:pt idx="72">
                  <c:v>40739.599999999999</c:v>
                </c:pt>
                <c:pt idx="73">
                  <c:v>41923.599999999999</c:v>
                </c:pt>
                <c:pt idx="74">
                  <c:v>43123.6</c:v>
                </c:pt>
                <c:pt idx="75">
                  <c:v>44339.6</c:v>
                </c:pt>
                <c:pt idx="76">
                  <c:v>45571.6</c:v>
                </c:pt>
                <c:pt idx="77">
                  <c:v>46819.6</c:v>
                </c:pt>
                <c:pt idx="78">
                  <c:v>48083.6</c:v>
                </c:pt>
                <c:pt idx="79">
                  <c:v>49363.6</c:v>
                </c:pt>
                <c:pt idx="80">
                  <c:v>50659.6</c:v>
                </c:pt>
                <c:pt idx="81">
                  <c:v>51971.6</c:v>
                </c:pt>
                <c:pt idx="82">
                  <c:v>53299.6</c:v>
                </c:pt>
                <c:pt idx="83">
                  <c:v>54643.6</c:v>
                </c:pt>
                <c:pt idx="84">
                  <c:v>56003.6</c:v>
                </c:pt>
                <c:pt idx="85">
                  <c:v>57379.6</c:v>
                </c:pt>
                <c:pt idx="86">
                  <c:v>58771.6</c:v>
                </c:pt>
                <c:pt idx="87">
                  <c:v>60179.6</c:v>
                </c:pt>
                <c:pt idx="88">
                  <c:v>61603.6</c:v>
                </c:pt>
                <c:pt idx="89">
                  <c:v>63043.6</c:v>
                </c:pt>
                <c:pt idx="90">
                  <c:v>64499.6</c:v>
                </c:pt>
                <c:pt idx="91">
                  <c:v>65971.600000000006</c:v>
                </c:pt>
                <c:pt idx="92">
                  <c:v>67459.600000000006</c:v>
                </c:pt>
                <c:pt idx="93">
                  <c:v>68963.600000000006</c:v>
                </c:pt>
                <c:pt idx="94">
                  <c:v>70483.600000000006</c:v>
                </c:pt>
                <c:pt idx="95">
                  <c:v>72019.600000000006</c:v>
                </c:pt>
                <c:pt idx="96">
                  <c:v>73571.600000000006</c:v>
                </c:pt>
                <c:pt idx="97">
                  <c:v>75139.600000000006</c:v>
                </c:pt>
                <c:pt idx="98">
                  <c:v>76723.600000000006</c:v>
                </c:pt>
                <c:pt idx="99">
                  <c:v>78323.600000000006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088752"/>
        <c:axId val="769080048"/>
      </c:lineChart>
      <c:valAx>
        <c:axId val="769077872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9084400"/>
        <c:crosses val="max"/>
        <c:crossBetween val="between"/>
      </c:valAx>
      <c:catAx>
        <c:axId val="769084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769077872"/>
        <c:crosses val="autoZero"/>
        <c:auto val="1"/>
        <c:lblAlgn val="ctr"/>
        <c:lblOffset val="100"/>
        <c:noMultiLvlLbl val="0"/>
      </c:catAx>
      <c:valAx>
        <c:axId val="769080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9088752"/>
        <c:crosses val="autoZero"/>
        <c:crossBetween val="between"/>
      </c:valAx>
      <c:catAx>
        <c:axId val="769088752"/>
        <c:scaling>
          <c:orientation val="minMax"/>
        </c:scaling>
        <c:delete val="1"/>
        <c:axPos val="b"/>
        <c:majorTickMark val="out"/>
        <c:minorTickMark val="none"/>
        <c:tickLblPos val="nextTo"/>
        <c:crossAx val="769080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26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38</c:v>
                </c:pt>
                <c:pt idx="16">
                  <c:v>40</c:v>
                </c:pt>
                <c:pt idx="17">
                  <c:v>45</c:v>
                </c:pt>
                <c:pt idx="18">
                  <c:v>48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 formatCode="0">
                  <c:v>70.25</c:v>
                </c:pt>
                <c:pt idx="41" formatCode="0">
                  <c:v>70.5</c:v>
                </c:pt>
                <c:pt idx="42" formatCode="0">
                  <c:v>70.75</c:v>
                </c:pt>
                <c:pt idx="43" formatCode="0">
                  <c:v>71</c:v>
                </c:pt>
                <c:pt idx="44" formatCode="0">
                  <c:v>71.25</c:v>
                </c:pt>
                <c:pt idx="45" formatCode="0">
                  <c:v>71.5</c:v>
                </c:pt>
                <c:pt idx="46" formatCode="0">
                  <c:v>71.75</c:v>
                </c:pt>
                <c:pt idx="47" formatCode="0">
                  <c:v>72</c:v>
                </c:pt>
                <c:pt idx="48" formatCode="0">
                  <c:v>72.25</c:v>
                </c:pt>
                <c:pt idx="49" formatCode="0">
                  <c:v>72.5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旧75%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3.75</c:v>
                </c:pt>
                <c:pt idx="1">
                  <c:v>5.25</c:v>
                </c:pt>
                <c:pt idx="2">
                  <c:v>6.75</c:v>
                </c:pt>
                <c:pt idx="3">
                  <c:v>8.25</c:v>
                </c:pt>
                <c:pt idx="4">
                  <c:v>9.75</c:v>
                </c:pt>
                <c:pt idx="5">
                  <c:v>11.25</c:v>
                </c:pt>
                <c:pt idx="6">
                  <c:v>12.75</c:v>
                </c:pt>
                <c:pt idx="7">
                  <c:v>14.25</c:v>
                </c:pt>
                <c:pt idx="8">
                  <c:v>15.75</c:v>
                </c:pt>
                <c:pt idx="9">
                  <c:v>17.25</c:v>
                </c:pt>
                <c:pt idx="10">
                  <c:v>19.5</c:v>
                </c:pt>
                <c:pt idx="11">
                  <c:v>22.5</c:v>
                </c:pt>
                <c:pt idx="12">
                  <c:v>24</c:v>
                </c:pt>
                <c:pt idx="13">
                  <c:v>25.5</c:v>
                </c:pt>
                <c:pt idx="14">
                  <c:v>27</c:v>
                </c:pt>
                <c:pt idx="15">
                  <c:v>28.5</c:v>
                </c:pt>
                <c:pt idx="16">
                  <c:v>30</c:v>
                </c:pt>
                <c:pt idx="17">
                  <c:v>33.75</c:v>
                </c:pt>
                <c:pt idx="18">
                  <c:v>36</c:v>
                </c:pt>
                <c:pt idx="19">
                  <c:v>37.5</c:v>
                </c:pt>
                <c:pt idx="20">
                  <c:v>38.25</c:v>
                </c:pt>
                <c:pt idx="21">
                  <c:v>39</c:v>
                </c:pt>
                <c:pt idx="22">
                  <c:v>39.75</c:v>
                </c:pt>
                <c:pt idx="23">
                  <c:v>40.5</c:v>
                </c:pt>
                <c:pt idx="24">
                  <c:v>41.25</c:v>
                </c:pt>
                <c:pt idx="25">
                  <c:v>42</c:v>
                </c:pt>
                <c:pt idx="26">
                  <c:v>42.75</c:v>
                </c:pt>
                <c:pt idx="27">
                  <c:v>43.5</c:v>
                </c:pt>
                <c:pt idx="28">
                  <c:v>44.25</c:v>
                </c:pt>
                <c:pt idx="29">
                  <c:v>45</c:v>
                </c:pt>
                <c:pt idx="30">
                  <c:v>45.75</c:v>
                </c:pt>
                <c:pt idx="31">
                  <c:v>46.5</c:v>
                </c:pt>
                <c:pt idx="32">
                  <c:v>47.25</c:v>
                </c:pt>
                <c:pt idx="33">
                  <c:v>48</c:v>
                </c:pt>
                <c:pt idx="34">
                  <c:v>48.75</c:v>
                </c:pt>
                <c:pt idx="35">
                  <c:v>49.5</c:v>
                </c:pt>
                <c:pt idx="36">
                  <c:v>50.25</c:v>
                </c:pt>
                <c:pt idx="37">
                  <c:v>51</c:v>
                </c:pt>
                <c:pt idx="38">
                  <c:v>51.75</c:v>
                </c:pt>
                <c:pt idx="39">
                  <c:v>52.5</c:v>
                </c:pt>
                <c:pt idx="40" formatCode="0">
                  <c:v>52.6875</c:v>
                </c:pt>
                <c:pt idx="41" formatCode="0">
                  <c:v>52.875</c:v>
                </c:pt>
                <c:pt idx="42" formatCode="0">
                  <c:v>53.0625</c:v>
                </c:pt>
                <c:pt idx="43" formatCode="0">
                  <c:v>53.25</c:v>
                </c:pt>
                <c:pt idx="44" formatCode="0">
                  <c:v>53.4375</c:v>
                </c:pt>
                <c:pt idx="45" formatCode="0">
                  <c:v>53.625</c:v>
                </c:pt>
                <c:pt idx="46" formatCode="0">
                  <c:v>53.8125</c:v>
                </c:pt>
                <c:pt idx="47" formatCode="0">
                  <c:v>54</c:v>
                </c:pt>
                <c:pt idx="48" formatCode="0">
                  <c:v>54.1875</c:v>
                </c:pt>
                <c:pt idx="49" formatCode="0">
                  <c:v>54.375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旧50%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2.5</c:v>
                </c:pt>
                <c:pt idx="1">
                  <c:v>3.5</c:v>
                </c:pt>
                <c:pt idx="2">
                  <c:v>4.5</c:v>
                </c:pt>
                <c:pt idx="3">
                  <c:v>5.5</c:v>
                </c:pt>
                <c:pt idx="4">
                  <c:v>6.5</c:v>
                </c:pt>
                <c:pt idx="5">
                  <c:v>7.5</c:v>
                </c:pt>
                <c:pt idx="6">
                  <c:v>8.5</c:v>
                </c:pt>
                <c:pt idx="7">
                  <c:v>9.5</c:v>
                </c:pt>
                <c:pt idx="8">
                  <c:v>10.5</c:v>
                </c:pt>
                <c:pt idx="9">
                  <c:v>11.5</c:v>
                </c:pt>
                <c:pt idx="10">
                  <c:v>13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22.5</c:v>
                </c:pt>
                <c:pt idx="18">
                  <c:v>24</c:v>
                </c:pt>
                <c:pt idx="19">
                  <c:v>25</c:v>
                </c:pt>
                <c:pt idx="20">
                  <c:v>25.5</c:v>
                </c:pt>
                <c:pt idx="21">
                  <c:v>26</c:v>
                </c:pt>
                <c:pt idx="22">
                  <c:v>26.5</c:v>
                </c:pt>
                <c:pt idx="23">
                  <c:v>27</c:v>
                </c:pt>
                <c:pt idx="24">
                  <c:v>27.5</c:v>
                </c:pt>
                <c:pt idx="25">
                  <c:v>28</c:v>
                </c:pt>
                <c:pt idx="26">
                  <c:v>28.5</c:v>
                </c:pt>
                <c:pt idx="27">
                  <c:v>29</c:v>
                </c:pt>
                <c:pt idx="28">
                  <c:v>29.5</c:v>
                </c:pt>
                <c:pt idx="29">
                  <c:v>30</c:v>
                </c:pt>
                <c:pt idx="30">
                  <c:v>30.5</c:v>
                </c:pt>
                <c:pt idx="31">
                  <c:v>31</c:v>
                </c:pt>
                <c:pt idx="32">
                  <c:v>31.5</c:v>
                </c:pt>
                <c:pt idx="33">
                  <c:v>32</c:v>
                </c:pt>
                <c:pt idx="34">
                  <c:v>32.5</c:v>
                </c:pt>
                <c:pt idx="35">
                  <c:v>33</c:v>
                </c:pt>
                <c:pt idx="36">
                  <c:v>33.5</c:v>
                </c:pt>
                <c:pt idx="37">
                  <c:v>34</c:v>
                </c:pt>
                <c:pt idx="38">
                  <c:v>34.5</c:v>
                </c:pt>
                <c:pt idx="39">
                  <c:v>35</c:v>
                </c:pt>
                <c:pt idx="40" formatCode="0">
                  <c:v>35.125</c:v>
                </c:pt>
                <c:pt idx="41" formatCode="0">
                  <c:v>35.25</c:v>
                </c:pt>
                <c:pt idx="42" formatCode="0">
                  <c:v>35.375</c:v>
                </c:pt>
                <c:pt idx="43" formatCode="0">
                  <c:v>35.5</c:v>
                </c:pt>
                <c:pt idx="44" formatCode="0">
                  <c:v>35.625</c:v>
                </c:pt>
                <c:pt idx="45" formatCode="0">
                  <c:v>35.75</c:v>
                </c:pt>
                <c:pt idx="46" formatCode="0">
                  <c:v>35.875</c:v>
                </c:pt>
                <c:pt idx="47" formatCode="0">
                  <c:v>36</c:v>
                </c:pt>
                <c:pt idx="48" formatCode="0">
                  <c:v>36.125</c:v>
                </c:pt>
                <c:pt idx="49" formatCode="0">
                  <c:v>36.25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慢125%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5</c:v>
                </c:pt>
                <c:pt idx="1">
                  <c:v>6.25</c:v>
                </c:pt>
                <c:pt idx="2">
                  <c:v>7.5</c:v>
                </c:pt>
                <c:pt idx="3">
                  <c:v>8.75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16.25</c:v>
                </c:pt>
                <c:pt idx="8">
                  <c:v>17.5</c:v>
                </c:pt>
                <c:pt idx="9">
                  <c:v>20</c:v>
                </c:pt>
                <c:pt idx="10">
                  <c:v>22.5</c:v>
                </c:pt>
                <c:pt idx="11">
                  <c:v>25</c:v>
                </c:pt>
                <c:pt idx="12">
                  <c:v>27.5</c:v>
                </c:pt>
                <c:pt idx="13">
                  <c:v>30</c:v>
                </c:pt>
                <c:pt idx="14">
                  <c:v>32.5</c:v>
                </c:pt>
                <c:pt idx="15">
                  <c:v>35</c:v>
                </c:pt>
                <c:pt idx="16">
                  <c:v>37.5</c:v>
                </c:pt>
                <c:pt idx="17">
                  <c:v>40</c:v>
                </c:pt>
                <c:pt idx="18">
                  <c:v>42.5</c:v>
                </c:pt>
                <c:pt idx="19">
                  <c:v>45</c:v>
                </c:pt>
                <c:pt idx="20">
                  <c:v>47.5</c:v>
                </c:pt>
                <c:pt idx="21">
                  <c:v>48.75</c:v>
                </c:pt>
                <c:pt idx="22">
                  <c:v>50</c:v>
                </c:pt>
                <c:pt idx="23">
                  <c:v>51.25</c:v>
                </c:pt>
                <c:pt idx="24">
                  <c:v>52.5</c:v>
                </c:pt>
                <c:pt idx="25">
                  <c:v>53.75</c:v>
                </c:pt>
                <c:pt idx="26">
                  <c:v>55</c:v>
                </c:pt>
                <c:pt idx="27">
                  <c:v>56.25</c:v>
                </c:pt>
                <c:pt idx="28">
                  <c:v>57.5</c:v>
                </c:pt>
                <c:pt idx="29">
                  <c:v>58.75</c:v>
                </c:pt>
                <c:pt idx="30">
                  <c:v>59.6875</c:v>
                </c:pt>
                <c:pt idx="31">
                  <c:v>60</c:v>
                </c:pt>
                <c:pt idx="32">
                  <c:v>60.3125</c:v>
                </c:pt>
                <c:pt idx="33">
                  <c:v>60.625</c:v>
                </c:pt>
                <c:pt idx="34">
                  <c:v>60.9375</c:v>
                </c:pt>
                <c:pt idx="35">
                  <c:v>61.25</c:v>
                </c:pt>
                <c:pt idx="36">
                  <c:v>61.5625</c:v>
                </c:pt>
                <c:pt idx="37">
                  <c:v>61.875</c:v>
                </c:pt>
                <c:pt idx="38">
                  <c:v>62.1875</c:v>
                </c:pt>
                <c:pt idx="39">
                  <c:v>62.5</c:v>
                </c:pt>
                <c:pt idx="40" formatCode="0">
                  <c:v>62.8125</c:v>
                </c:pt>
                <c:pt idx="41" formatCode="0">
                  <c:v>63.125</c:v>
                </c:pt>
                <c:pt idx="42" formatCode="0">
                  <c:v>63.4375</c:v>
                </c:pt>
                <c:pt idx="43" formatCode="0">
                  <c:v>63.75</c:v>
                </c:pt>
                <c:pt idx="44" formatCode="0">
                  <c:v>64.0625</c:v>
                </c:pt>
                <c:pt idx="45" formatCode="0">
                  <c:v>64.375</c:v>
                </c:pt>
                <c:pt idx="46" formatCode="0">
                  <c:v>64.6875</c:v>
                </c:pt>
                <c:pt idx="47" formatCode="0">
                  <c:v>65</c:v>
                </c:pt>
                <c:pt idx="48" formatCode="0">
                  <c:v>65.3125</c:v>
                </c:pt>
                <c:pt idx="49" formatCode="0">
                  <c:v>65.625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普通100%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 formatCode="0">
                  <c:v>34</c:v>
                </c:pt>
                <c:pt idx="19">
                  <c:v>36</c:v>
                </c:pt>
                <c:pt idx="20">
                  <c:v>38</c:v>
                </c:pt>
                <c:pt idx="21" formatCode="0">
                  <c:v>39</c:v>
                </c:pt>
                <c:pt idx="22">
                  <c:v>40</c:v>
                </c:pt>
                <c:pt idx="23" formatCode="0">
                  <c:v>41</c:v>
                </c:pt>
                <c:pt idx="24">
                  <c:v>42</c:v>
                </c:pt>
                <c:pt idx="25" formatCode="0">
                  <c:v>43</c:v>
                </c:pt>
                <c:pt idx="26">
                  <c:v>44</c:v>
                </c:pt>
                <c:pt idx="27" formatCode="0">
                  <c:v>45</c:v>
                </c:pt>
                <c:pt idx="28">
                  <c:v>46</c:v>
                </c:pt>
                <c:pt idx="29" formatCode="0">
                  <c:v>47</c:v>
                </c:pt>
                <c:pt idx="30" formatCode="0">
                  <c:v>47.75</c:v>
                </c:pt>
                <c:pt idx="31" formatCode="0">
                  <c:v>48</c:v>
                </c:pt>
                <c:pt idx="32" formatCode="0">
                  <c:v>48.25</c:v>
                </c:pt>
                <c:pt idx="33" formatCode="0">
                  <c:v>48.5</c:v>
                </c:pt>
                <c:pt idx="34" formatCode="0">
                  <c:v>48.75</c:v>
                </c:pt>
                <c:pt idx="35" formatCode="0">
                  <c:v>49</c:v>
                </c:pt>
                <c:pt idx="36" formatCode="0">
                  <c:v>49.25</c:v>
                </c:pt>
                <c:pt idx="37" formatCode="0">
                  <c:v>49.5</c:v>
                </c:pt>
                <c:pt idx="38" formatCode="0">
                  <c:v>49.75</c:v>
                </c:pt>
                <c:pt idx="39" formatCode="0">
                  <c:v>50</c:v>
                </c:pt>
                <c:pt idx="40" formatCode="0">
                  <c:v>50.25</c:v>
                </c:pt>
                <c:pt idx="41" formatCode="0">
                  <c:v>50.5</c:v>
                </c:pt>
                <c:pt idx="42" formatCode="0">
                  <c:v>50.75</c:v>
                </c:pt>
                <c:pt idx="43" formatCode="0">
                  <c:v>51</c:v>
                </c:pt>
                <c:pt idx="44" formatCode="0">
                  <c:v>51.25</c:v>
                </c:pt>
                <c:pt idx="45" formatCode="0">
                  <c:v>51.5</c:v>
                </c:pt>
                <c:pt idx="46" formatCode="0">
                  <c:v>51.75</c:v>
                </c:pt>
                <c:pt idx="47" formatCode="0">
                  <c:v>52</c:v>
                </c:pt>
                <c:pt idx="48" formatCode="0">
                  <c:v>52.25</c:v>
                </c:pt>
                <c:pt idx="49" formatCode="0">
                  <c:v>52.5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快75%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</c:v>
                </c:pt>
                <c:pt idx="1">
                  <c:v>3.75</c:v>
                </c:pt>
                <c:pt idx="2">
                  <c:v>4.5</c:v>
                </c:pt>
                <c:pt idx="3">
                  <c:v>5.25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9.75</c:v>
                </c:pt>
                <c:pt idx="8">
                  <c:v>10.5</c:v>
                </c:pt>
                <c:pt idx="9">
                  <c:v>12</c:v>
                </c:pt>
                <c:pt idx="10">
                  <c:v>13.5</c:v>
                </c:pt>
                <c:pt idx="11">
                  <c:v>15</c:v>
                </c:pt>
                <c:pt idx="12">
                  <c:v>16.5</c:v>
                </c:pt>
                <c:pt idx="13">
                  <c:v>18</c:v>
                </c:pt>
                <c:pt idx="14">
                  <c:v>19.5</c:v>
                </c:pt>
                <c:pt idx="15">
                  <c:v>21</c:v>
                </c:pt>
                <c:pt idx="16">
                  <c:v>22.5</c:v>
                </c:pt>
                <c:pt idx="17">
                  <c:v>24</c:v>
                </c:pt>
                <c:pt idx="18">
                  <c:v>25.5</c:v>
                </c:pt>
                <c:pt idx="19">
                  <c:v>27</c:v>
                </c:pt>
                <c:pt idx="20">
                  <c:v>28.5</c:v>
                </c:pt>
                <c:pt idx="21">
                  <c:v>29.25</c:v>
                </c:pt>
                <c:pt idx="22">
                  <c:v>30</c:v>
                </c:pt>
                <c:pt idx="23">
                  <c:v>30.75</c:v>
                </c:pt>
                <c:pt idx="24">
                  <c:v>31.5</c:v>
                </c:pt>
                <c:pt idx="25">
                  <c:v>32.25</c:v>
                </c:pt>
                <c:pt idx="26">
                  <c:v>33</c:v>
                </c:pt>
                <c:pt idx="27">
                  <c:v>33.75</c:v>
                </c:pt>
                <c:pt idx="28">
                  <c:v>34.5</c:v>
                </c:pt>
                <c:pt idx="29">
                  <c:v>35.25</c:v>
                </c:pt>
                <c:pt idx="30">
                  <c:v>35.8125</c:v>
                </c:pt>
                <c:pt idx="31">
                  <c:v>36</c:v>
                </c:pt>
                <c:pt idx="32">
                  <c:v>36.1875</c:v>
                </c:pt>
                <c:pt idx="33">
                  <c:v>36.375</c:v>
                </c:pt>
                <c:pt idx="34">
                  <c:v>36.5625</c:v>
                </c:pt>
                <c:pt idx="35">
                  <c:v>36.75</c:v>
                </c:pt>
                <c:pt idx="36">
                  <c:v>36.9375</c:v>
                </c:pt>
                <c:pt idx="37">
                  <c:v>37.125</c:v>
                </c:pt>
                <c:pt idx="38">
                  <c:v>37.3125</c:v>
                </c:pt>
                <c:pt idx="39">
                  <c:v>37.5</c:v>
                </c:pt>
                <c:pt idx="40" formatCode="0">
                  <c:v>37.6875</c:v>
                </c:pt>
                <c:pt idx="41" formatCode="0">
                  <c:v>37.875</c:v>
                </c:pt>
                <c:pt idx="42" formatCode="0">
                  <c:v>38.0625</c:v>
                </c:pt>
                <c:pt idx="43" formatCode="0">
                  <c:v>38.25</c:v>
                </c:pt>
                <c:pt idx="44" formatCode="0">
                  <c:v>38.4375</c:v>
                </c:pt>
                <c:pt idx="45" formatCode="0">
                  <c:v>38.625</c:v>
                </c:pt>
                <c:pt idx="46" formatCode="0">
                  <c:v>38.8125</c:v>
                </c:pt>
                <c:pt idx="47" formatCode="0">
                  <c:v>39</c:v>
                </c:pt>
                <c:pt idx="48" formatCode="0">
                  <c:v>39.1875</c:v>
                </c:pt>
                <c:pt idx="49" formatCode="0">
                  <c:v>39.375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089296"/>
        <c:axId val="769077328"/>
      </c:lineChart>
      <c:catAx>
        <c:axId val="76908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9077328"/>
        <c:crosses val="autoZero"/>
        <c:auto val="1"/>
        <c:lblAlgn val="ctr"/>
        <c:lblOffset val="100"/>
        <c:noMultiLvlLbl val="0"/>
      </c:catAx>
      <c:valAx>
        <c:axId val="76907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908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1</xdr:row>
      <xdr:rowOff>114300</xdr:rowOff>
    </xdr:from>
    <xdr:to>
      <xdr:col>25</xdr:col>
      <xdr:colOff>419100</xdr:colOff>
      <xdr:row>25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619125</xdr:colOff>
      <xdr:row>2</xdr:row>
      <xdr:rowOff>19050</xdr:rowOff>
    </xdr:from>
    <xdr:to>
      <xdr:col>25</xdr:col>
      <xdr:colOff>428625</xdr:colOff>
      <xdr:row>40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1"/>
  <sheetViews>
    <sheetView workbookViewId="0">
      <selection activeCell="G101" sqref="G101"/>
    </sheetView>
  </sheetViews>
  <sheetFormatPr defaultRowHeight="13.5" x14ac:dyDescent="0.15"/>
  <cols>
    <col min="9" max="9" width="9.875" bestFit="1" customWidth="1"/>
  </cols>
  <sheetData>
    <row r="1" spans="1:9" x14ac:dyDescent="0.15">
      <c r="A1" t="s">
        <v>0</v>
      </c>
      <c r="E1" t="s">
        <v>2</v>
      </c>
      <c r="F1" t="s">
        <v>3</v>
      </c>
      <c r="G1" t="s">
        <v>4</v>
      </c>
      <c r="H1" s="1" t="s">
        <v>5</v>
      </c>
      <c r="I1" s="1" t="s">
        <v>6</v>
      </c>
    </row>
    <row r="2" spans="1:9" x14ac:dyDescent="0.15">
      <c r="A2">
        <v>1</v>
      </c>
      <c r="B2">
        <v>0</v>
      </c>
      <c r="F2">
        <v>0</v>
      </c>
      <c r="G2">
        <f>F2*0.08+40</f>
        <v>40</v>
      </c>
      <c r="H2" s="2">
        <f>G2/E3</f>
        <v>0.22222222222222221</v>
      </c>
      <c r="I2" s="2">
        <f>G$101/E3</f>
        <v>435.13111111111112</v>
      </c>
    </row>
    <row r="3" spans="1:9" x14ac:dyDescent="0.15">
      <c r="A3">
        <v>2</v>
      </c>
      <c r="B3">
        <v>230</v>
      </c>
      <c r="C3">
        <f>B3-B2</f>
        <v>230</v>
      </c>
      <c r="D3">
        <v>-50</v>
      </c>
      <c r="E3">
        <f>C3+D3</f>
        <v>180</v>
      </c>
      <c r="F3">
        <f>F2+E3</f>
        <v>180</v>
      </c>
      <c r="G3">
        <f t="shared" ref="G3:G66" si="0">F3*0.08+40</f>
        <v>54.4</v>
      </c>
      <c r="H3" s="2">
        <f t="shared" ref="H3:H66" si="1">G3/E4</f>
        <v>0.16484848484848486</v>
      </c>
      <c r="I3" s="2">
        <f t="shared" ref="I3:I66" si="2">G$101/E4</f>
        <v>237.34424242424245</v>
      </c>
    </row>
    <row r="4" spans="1:9" x14ac:dyDescent="0.15">
      <c r="A4">
        <v>3</v>
      </c>
      <c r="B4">
        <v>600</v>
      </c>
      <c r="C4">
        <f t="shared" ref="C4:C31" si="3">B4-B3</f>
        <v>370</v>
      </c>
      <c r="D4">
        <v>-40</v>
      </c>
      <c r="E4">
        <f t="shared" ref="E4:E31" si="4">C4+D4</f>
        <v>330</v>
      </c>
      <c r="F4">
        <f t="shared" ref="F4:F32" si="5">F3+E4</f>
        <v>510</v>
      </c>
      <c r="G4">
        <f t="shared" si="0"/>
        <v>80.800000000000011</v>
      </c>
      <c r="H4" s="2">
        <f t="shared" si="1"/>
        <v>0.17955555555555558</v>
      </c>
      <c r="I4" s="2">
        <f t="shared" si="2"/>
        <v>174.05244444444446</v>
      </c>
    </row>
    <row r="5" spans="1:9" x14ac:dyDescent="0.15">
      <c r="A5">
        <v>4</v>
      </c>
      <c r="B5">
        <v>1080</v>
      </c>
      <c r="C5">
        <f t="shared" si="3"/>
        <v>480</v>
      </c>
      <c r="D5">
        <v>-30</v>
      </c>
      <c r="E5">
        <f t="shared" si="4"/>
        <v>450</v>
      </c>
      <c r="F5">
        <f t="shared" si="5"/>
        <v>960</v>
      </c>
      <c r="G5">
        <f t="shared" si="0"/>
        <v>116.8</v>
      </c>
      <c r="H5" s="2">
        <f t="shared" si="1"/>
        <v>0.20857142857142857</v>
      </c>
      <c r="I5" s="2">
        <f t="shared" si="2"/>
        <v>139.86357142857145</v>
      </c>
    </row>
    <row r="6" spans="1:9" x14ac:dyDescent="0.15">
      <c r="A6">
        <v>5</v>
      </c>
      <c r="B6">
        <v>1660</v>
      </c>
      <c r="C6">
        <f t="shared" si="3"/>
        <v>580</v>
      </c>
      <c r="D6">
        <v>-20</v>
      </c>
      <c r="E6">
        <f t="shared" si="4"/>
        <v>560</v>
      </c>
      <c r="F6">
        <f t="shared" si="5"/>
        <v>1520</v>
      </c>
      <c r="G6">
        <f t="shared" si="0"/>
        <v>161.60000000000002</v>
      </c>
      <c r="H6" s="2">
        <f t="shared" si="1"/>
        <v>0.27389830508474577</v>
      </c>
      <c r="I6" s="2">
        <f t="shared" si="2"/>
        <v>132.75186440677967</v>
      </c>
    </row>
    <row r="7" spans="1:9" x14ac:dyDescent="0.15">
      <c r="A7">
        <v>6</v>
      </c>
      <c r="B7">
        <v>2260</v>
      </c>
      <c r="C7">
        <f t="shared" si="3"/>
        <v>600</v>
      </c>
      <c r="D7">
        <v>-10</v>
      </c>
      <c r="E7">
        <f t="shared" si="4"/>
        <v>590</v>
      </c>
      <c r="F7">
        <f t="shared" si="5"/>
        <v>2110</v>
      </c>
      <c r="G7">
        <f t="shared" si="0"/>
        <v>208.8</v>
      </c>
      <c r="H7" s="2">
        <f t="shared" si="1"/>
        <v>0.28216216216216217</v>
      </c>
      <c r="I7" s="2">
        <f t="shared" si="2"/>
        <v>105.84270270270271</v>
      </c>
    </row>
    <row r="8" spans="1:9" x14ac:dyDescent="0.15">
      <c r="A8">
        <v>7</v>
      </c>
      <c r="B8">
        <v>2980</v>
      </c>
      <c r="C8">
        <f t="shared" si="3"/>
        <v>720</v>
      </c>
      <c r="D8">
        <v>20</v>
      </c>
      <c r="E8">
        <f t="shared" si="4"/>
        <v>740</v>
      </c>
      <c r="F8">
        <f t="shared" si="5"/>
        <v>2850</v>
      </c>
      <c r="G8">
        <f t="shared" si="0"/>
        <v>268</v>
      </c>
      <c r="H8" s="2">
        <f t="shared" si="1"/>
        <v>0.3392405063291139</v>
      </c>
      <c r="I8" s="2">
        <f t="shared" si="2"/>
        <v>99.143797468354435</v>
      </c>
    </row>
    <row r="9" spans="1:9" x14ac:dyDescent="0.15">
      <c r="A9">
        <v>8</v>
      </c>
      <c r="B9">
        <v>3730</v>
      </c>
      <c r="C9">
        <f t="shared" si="3"/>
        <v>750</v>
      </c>
      <c r="D9">
        <v>40</v>
      </c>
      <c r="E9">
        <f t="shared" si="4"/>
        <v>790</v>
      </c>
      <c r="F9">
        <f t="shared" si="5"/>
        <v>3640</v>
      </c>
      <c r="G9">
        <f t="shared" si="0"/>
        <v>331.2</v>
      </c>
      <c r="H9" s="2">
        <f t="shared" si="1"/>
        <v>0.39428571428571429</v>
      </c>
      <c r="I9" s="2">
        <f t="shared" si="2"/>
        <v>93.242380952380955</v>
      </c>
    </row>
    <row r="10" spans="1:9" x14ac:dyDescent="0.15">
      <c r="A10">
        <v>9</v>
      </c>
      <c r="B10">
        <v>4510</v>
      </c>
      <c r="C10">
        <f t="shared" si="3"/>
        <v>780</v>
      </c>
      <c r="D10">
        <v>60</v>
      </c>
      <c r="E10">
        <f t="shared" si="4"/>
        <v>840</v>
      </c>
      <c r="F10">
        <f t="shared" si="5"/>
        <v>4480</v>
      </c>
      <c r="G10">
        <f t="shared" si="0"/>
        <v>398.40000000000003</v>
      </c>
      <c r="H10" s="2">
        <f t="shared" si="1"/>
        <v>0.4476404494382023</v>
      </c>
      <c r="I10" s="2">
        <f t="shared" si="2"/>
        <v>88.004044943820233</v>
      </c>
    </row>
    <row r="11" spans="1:9" x14ac:dyDescent="0.15">
      <c r="A11">
        <v>10</v>
      </c>
      <c r="B11">
        <v>5320</v>
      </c>
      <c r="C11">
        <f t="shared" si="3"/>
        <v>810</v>
      </c>
      <c r="D11">
        <v>80</v>
      </c>
      <c r="E11">
        <f t="shared" si="4"/>
        <v>890</v>
      </c>
      <c r="F11">
        <f t="shared" si="5"/>
        <v>5370</v>
      </c>
      <c r="G11">
        <f t="shared" si="0"/>
        <v>469.6</v>
      </c>
      <c r="H11" s="2">
        <f t="shared" si="1"/>
        <v>0.49957446808510642</v>
      </c>
      <c r="I11" s="2">
        <f t="shared" si="2"/>
        <v>83.322978723404262</v>
      </c>
    </row>
    <row r="12" spans="1:9" x14ac:dyDescent="0.15">
      <c r="A12">
        <v>11</v>
      </c>
      <c r="B12">
        <v>6160</v>
      </c>
      <c r="C12">
        <f t="shared" si="3"/>
        <v>840</v>
      </c>
      <c r="D12">
        <v>100</v>
      </c>
      <c r="E12">
        <f t="shared" si="4"/>
        <v>940</v>
      </c>
      <c r="F12">
        <f t="shared" si="5"/>
        <v>6310</v>
      </c>
      <c r="G12">
        <f t="shared" si="0"/>
        <v>544.79999999999995</v>
      </c>
      <c r="H12" s="2">
        <f t="shared" si="1"/>
        <v>0.5091588785046729</v>
      </c>
      <c r="I12" s="2">
        <f t="shared" si="2"/>
        <v>73.199626168224299</v>
      </c>
    </row>
    <row r="13" spans="1:9" x14ac:dyDescent="0.15">
      <c r="A13">
        <v>12</v>
      </c>
      <c r="B13">
        <v>7030</v>
      </c>
      <c r="C13">
        <f t="shared" si="3"/>
        <v>870</v>
      </c>
      <c r="D13">
        <v>200</v>
      </c>
      <c r="E13">
        <f t="shared" si="4"/>
        <v>1070</v>
      </c>
      <c r="F13">
        <f t="shared" si="5"/>
        <v>7380</v>
      </c>
      <c r="G13">
        <f t="shared" si="0"/>
        <v>630.4</v>
      </c>
      <c r="H13" s="2">
        <f t="shared" si="1"/>
        <v>0.52533333333333332</v>
      </c>
      <c r="I13" s="2">
        <f t="shared" si="2"/>
        <v>65.269666666666666</v>
      </c>
    </row>
    <row r="14" spans="1:9" x14ac:dyDescent="0.15">
      <c r="A14">
        <v>13</v>
      </c>
      <c r="B14">
        <v>7930</v>
      </c>
      <c r="C14">
        <f t="shared" si="3"/>
        <v>900</v>
      </c>
      <c r="D14">
        <v>300</v>
      </c>
      <c r="E14">
        <f t="shared" si="4"/>
        <v>1200</v>
      </c>
      <c r="F14">
        <f t="shared" si="5"/>
        <v>8580</v>
      </c>
      <c r="G14">
        <f t="shared" si="0"/>
        <v>726.4</v>
      </c>
      <c r="H14" s="2">
        <f t="shared" si="1"/>
        <v>0.50975438596491229</v>
      </c>
      <c r="I14" s="2">
        <f t="shared" si="2"/>
        <v>54.963929824561404</v>
      </c>
    </row>
    <row r="15" spans="1:9" x14ac:dyDescent="0.15">
      <c r="A15">
        <v>14</v>
      </c>
      <c r="B15">
        <v>9155</v>
      </c>
      <c r="C15">
        <f t="shared" si="3"/>
        <v>1225</v>
      </c>
      <c r="D15">
        <v>200</v>
      </c>
      <c r="E15">
        <f t="shared" si="4"/>
        <v>1425</v>
      </c>
      <c r="F15">
        <f t="shared" si="5"/>
        <v>10005</v>
      </c>
      <c r="G15">
        <f t="shared" si="0"/>
        <v>840.4</v>
      </c>
      <c r="H15" s="2">
        <f t="shared" si="1"/>
        <v>0.54219354838709677</v>
      </c>
      <c r="I15" s="2">
        <f t="shared" si="2"/>
        <v>50.531354838709682</v>
      </c>
    </row>
    <row r="16" spans="1:9" x14ac:dyDescent="0.15">
      <c r="A16">
        <v>15</v>
      </c>
      <c r="B16">
        <v>10405</v>
      </c>
      <c r="C16">
        <f t="shared" si="3"/>
        <v>1250</v>
      </c>
      <c r="D16">
        <v>300</v>
      </c>
      <c r="E16">
        <f t="shared" si="4"/>
        <v>1550</v>
      </c>
      <c r="F16">
        <f t="shared" si="5"/>
        <v>11555</v>
      </c>
      <c r="G16">
        <f t="shared" si="0"/>
        <v>964.4</v>
      </c>
      <c r="H16" s="2">
        <f t="shared" si="1"/>
        <v>0.57576119402985071</v>
      </c>
      <c r="I16" s="2">
        <f t="shared" si="2"/>
        <v>46.760358208955225</v>
      </c>
    </row>
    <row r="17" spans="1:9" x14ac:dyDescent="0.15">
      <c r="A17">
        <v>16</v>
      </c>
      <c r="B17">
        <v>11680</v>
      </c>
      <c r="C17">
        <f t="shared" si="3"/>
        <v>1275</v>
      </c>
      <c r="D17">
        <v>400</v>
      </c>
      <c r="E17">
        <f t="shared" si="4"/>
        <v>1675</v>
      </c>
      <c r="F17">
        <f t="shared" si="5"/>
        <v>13230</v>
      </c>
      <c r="G17">
        <f t="shared" si="0"/>
        <v>1098.4000000000001</v>
      </c>
      <c r="H17" s="2">
        <f t="shared" si="1"/>
        <v>0.61022222222222222</v>
      </c>
      <c r="I17" s="2">
        <f t="shared" si="2"/>
        <v>43.513111111111115</v>
      </c>
    </row>
    <row r="18" spans="1:9" x14ac:dyDescent="0.15">
      <c r="A18">
        <v>17</v>
      </c>
      <c r="B18">
        <v>12980</v>
      </c>
      <c r="C18">
        <f t="shared" si="3"/>
        <v>1300</v>
      </c>
      <c r="D18">
        <v>500</v>
      </c>
      <c r="E18">
        <f t="shared" si="4"/>
        <v>1800</v>
      </c>
      <c r="F18">
        <f t="shared" si="5"/>
        <v>15030</v>
      </c>
      <c r="G18">
        <f t="shared" si="0"/>
        <v>1242.4000000000001</v>
      </c>
      <c r="H18" s="2">
        <f t="shared" si="1"/>
        <v>0.64540259740259742</v>
      </c>
      <c r="I18" s="2">
        <f t="shared" si="2"/>
        <v>40.687584415584418</v>
      </c>
    </row>
    <row r="19" spans="1:9" x14ac:dyDescent="0.15">
      <c r="A19">
        <v>18</v>
      </c>
      <c r="B19">
        <v>14305</v>
      </c>
      <c r="C19">
        <f t="shared" si="3"/>
        <v>1325</v>
      </c>
      <c r="D19">
        <v>600</v>
      </c>
      <c r="E19">
        <f t="shared" si="4"/>
        <v>1925</v>
      </c>
      <c r="F19">
        <f t="shared" si="5"/>
        <v>16955</v>
      </c>
      <c r="G19">
        <f t="shared" si="0"/>
        <v>1396.4</v>
      </c>
      <c r="H19" s="2">
        <f t="shared" si="1"/>
        <v>0.69820000000000004</v>
      </c>
      <c r="I19" s="2">
        <f t="shared" si="2"/>
        <v>39.161799999999999</v>
      </c>
    </row>
    <row r="20" spans="1:9" x14ac:dyDescent="0.15">
      <c r="A20">
        <v>19</v>
      </c>
      <c r="B20">
        <v>15805</v>
      </c>
      <c r="C20">
        <f t="shared" si="3"/>
        <v>1500</v>
      </c>
      <c r="D20">
        <v>500</v>
      </c>
      <c r="E20">
        <f t="shared" si="4"/>
        <v>2000</v>
      </c>
      <c r="F20">
        <f t="shared" si="5"/>
        <v>18955</v>
      </c>
      <c r="G20">
        <f t="shared" si="0"/>
        <v>1556.4</v>
      </c>
      <c r="H20" s="2">
        <f t="shared" si="1"/>
        <v>0.74468899521531107</v>
      </c>
      <c r="I20" s="2">
        <f t="shared" si="2"/>
        <v>37.475406698564598</v>
      </c>
    </row>
    <row r="21" spans="1:9" x14ac:dyDescent="0.15">
      <c r="A21">
        <v>20</v>
      </c>
      <c r="B21">
        <v>17395</v>
      </c>
      <c r="C21">
        <f t="shared" si="3"/>
        <v>1590</v>
      </c>
      <c r="D21">
        <v>500</v>
      </c>
      <c r="E21">
        <f t="shared" si="4"/>
        <v>2090</v>
      </c>
      <c r="F21">
        <f t="shared" si="5"/>
        <v>21045</v>
      </c>
      <c r="G21">
        <f t="shared" si="0"/>
        <v>1723.6000000000001</v>
      </c>
      <c r="H21" s="2">
        <f t="shared" si="1"/>
        <v>0.8207619047619048</v>
      </c>
      <c r="I21" s="2">
        <f t="shared" si="2"/>
        <v>37.296952380952384</v>
      </c>
    </row>
    <row r="22" spans="1:9" x14ac:dyDescent="0.15">
      <c r="A22">
        <v>21</v>
      </c>
      <c r="B22">
        <v>18995</v>
      </c>
      <c r="C22">
        <f t="shared" si="3"/>
        <v>1600</v>
      </c>
      <c r="D22">
        <v>500</v>
      </c>
      <c r="E22">
        <f t="shared" si="4"/>
        <v>2100</v>
      </c>
      <c r="F22">
        <f t="shared" si="5"/>
        <v>23145</v>
      </c>
      <c r="G22">
        <f t="shared" si="0"/>
        <v>1891.6000000000001</v>
      </c>
      <c r="H22" s="2">
        <f t="shared" si="1"/>
        <v>0.80493617021276598</v>
      </c>
      <c r="I22" s="2">
        <f t="shared" si="2"/>
        <v>33.329191489361705</v>
      </c>
    </row>
    <row r="23" spans="1:9" x14ac:dyDescent="0.15">
      <c r="A23">
        <v>22</v>
      </c>
      <c r="B23">
        <v>20845</v>
      </c>
      <c r="C23">
        <f t="shared" si="3"/>
        <v>1850</v>
      </c>
      <c r="D23">
        <v>500</v>
      </c>
      <c r="E23">
        <f t="shared" si="4"/>
        <v>2350</v>
      </c>
      <c r="F23">
        <f t="shared" si="5"/>
        <v>25495</v>
      </c>
      <c r="G23">
        <f t="shared" si="0"/>
        <v>2079.6000000000004</v>
      </c>
      <c r="H23" s="2">
        <f t="shared" si="1"/>
        <v>0.79984615384615398</v>
      </c>
      <c r="I23" s="2">
        <f t="shared" si="2"/>
        <v>30.124461538461542</v>
      </c>
    </row>
    <row r="24" spans="1:9" x14ac:dyDescent="0.15">
      <c r="A24">
        <v>23</v>
      </c>
      <c r="B24">
        <v>22945</v>
      </c>
      <c r="C24">
        <f t="shared" si="3"/>
        <v>2100</v>
      </c>
      <c r="D24">
        <v>500</v>
      </c>
      <c r="E24">
        <f t="shared" si="4"/>
        <v>2600</v>
      </c>
      <c r="F24">
        <f t="shared" si="5"/>
        <v>28095</v>
      </c>
      <c r="G24">
        <f t="shared" si="0"/>
        <v>2287.6</v>
      </c>
      <c r="H24" s="2">
        <f t="shared" si="1"/>
        <v>0.80266666666666664</v>
      </c>
      <c r="I24" s="2">
        <f t="shared" si="2"/>
        <v>27.481964912280702</v>
      </c>
    </row>
    <row r="25" spans="1:9" x14ac:dyDescent="0.15">
      <c r="A25">
        <v>24</v>
      </c>
      <c r="B25">
        <v>25295</v>
      </c>
      <c r="C25">
        <f t="shared" si="3"/>
        <v>2350</v>
      </c>
      <c r="D25">
        <v>500</v>
      </c>
      <c r="E25">
        <f t="shared" si="4"/>
        <v>2850</v>
      </c>
      <c r="F25">
        <f t="shared" si="5"/>
        <v>30945</v>
      </c>
      <c r="G25">
        <f t="shared" si="0"/>
        <v>2515.6</v>
      </c>
      <c r="H25" s="2">
        <f t="shared" si="1"/>
        <v>0.81148387096774188</v>
      </c>
      <c r="I25" s="2">
        <f t="shared" si="2"/>
        <v>25.265677419354841</v>
      </c>
    </row>
    <row r="26" spans="1:9" x14ac:dyDescent="0.15">
      <c r="A26">
        <v>25</v>
      </c>
      <c r="B26">
        <v>27895</v>
      </c>
      <c r="C26">
        <f t="shared" si="3"/>
        <v>2600</v>
      </c>
      <c r="D26">
        <v>500</v>
      </c>
      <c r="E26">
        <f t="shared" si="4"/>
        <v>3100</v>
      </c>
      <c r="F26">
        <f t="shared" si="5"/>
        <v>34045</v>
      </c>
      <c r="G26">
        <f t="shared" si="0"/>
        <v>2763.6</v>
      </c>
      <c r="H26" s="2">
        <f t="shared" si="1"/>
        <v>0.78959999999999997</v>
      </c>
      <c r="I26" s="2">
        <f t="shared" si="2"/>
        <v>22.378171428571431</v>
      </c>
    </row>
    <row r="27" spans="1:9" x14ac:dyDescent="0.15">
      <c r="A27">
        <v>26</v>
      </c>
      <c r="B27">
        <v>31395</v>
      </c>
      <c r="C27">
        <f t="shared" si="3"/>
        <v>3500</v>
      </c>
      <c r="E27">
        <f t="shared" si="4"/>
        <v>3500</v>
      </c>
      <c r="F27">
        <f t="shared" si="5"/>
        <v>37545</v>
      </c>
      <c r="G27">
        <f t="shared" si="0"/>
        <v>3043.6</v>
      </c>
      <c r="H27" s="2">
        <f t="shared" si="1"/>
        <v>0.67635555555555549</v>
      </c>
      <c r="I27" s="2">
        <f t="shared" si="2"/>
        <v>17.405244444444445</v>
      </c>
    </row>
    <row r="28" spans="1:9" x14ac:dyDescent="0.15">
      <c r="A28">
        <v>27</v>
      </c>
      <c r="B28">
        <v>35895</v>
      </c>
      <c r="C28">
        <f t="shared" si="3"/>
        <v>4500</v>
      </c>
      <c r="E28">
        <f t="shared" si="4"/>
        <v>4500</v>
      </c>
      <c r="F28">
        <f t="shared" si="5"/>
        <v>42045</v>
      </c>
      <c r="G28">
        <f t="shared" si="0"/>
        <v>3403.6</v>
      </c>
      <c r="H28" s="2">
        <f t="shared" si="1"/>
        <v>0.61883636363636363</v>
      </c>
      <c r="I28" s="2">
        <f t="shared" si="2"/>
        <v>14.240654545454547</v>
      </c>
    </row>
    <row r="29" spans="1:9" x14ac:dyDescent="0.15">
      <c r="A29">
        <v>28</v>
      </c>
      <c r="B29">
        <v>41395</v>
      </c>
      <c r="C29">
        <f t="shared" si="3"/>
        <v>5500</v>
      </c>
      <c r="E29">
        <f t="shared" si="4"/>
        <v>5500</v>
      </c>
      <c r="F29">
        <f t="shared" si="5"/>
        <v>47545</v>
      </c>
      <c r="G29">
        <f t="shared" si="0"/>
        <v>3843.6</v>
      </c>
      <c r="H29" s="2">
        <f t="shared" si="1"/>
        <v>0.59132307692307695</v>
      </c>
      <c r="I29" s="2">
        <f t="shared" si="2"/>
        <v>12.049784615384617</v>
      </c>
    </row>
    <row r="30" spans="1:9" x14ac:dyDescent="0.15">
      <c r="A30">
        <v>29</v>
      </c>
      <c r="B30">
        <v>47895</v>
      </c>
      <c r="C30">
        <f t="shared" si="3"/>
        <v>6500</v>
      </c>
      <c r="E30">
        <f t="shared" si="4"/>
        <v>6500</v>
      </c>
      <c r="F30">
        <f t="shared" si="5"/>
        <v>54045</v>
      </c>
      <c r="G30">
        <f t="shared" si="0"/>
        <v>4363.6000000000004</v>
      </c>
      <c r="H30" s="2">
        <f t="shared" si="1"/>
        <v>0.5818133333333334</v>
      </c>
      <c r="I30" s="2">
        <f t="shared" si="2"/>
        <v>10.443146666666667</v>
      </c>
    </row>
    <row r="31" spans="1:9" x14ac:dyDescent="0.15">
      <c r="A31">
        <v>30</v>
      </c>
      <c r="B31">
        <v>55395</v>
      </c>
      <c r="C31">
        <f t="shared" si="3"/>
        <v>7500</v>
      </c>
      <c r="E31">
        <f t="shared" si="4"/>
        <v>7500</v>
      </c>
      <c r="F31">
        <f t="shared" si="5"/>
        <v>61545</v>
      </c>
      <c r="G31">
        <f t="shared" si="0"/>
        <v>4963.6000000000004</v>
      </c>
      <c r="H31" s="2">
        <f t="shared" si="1"/>
        <v>0.80058064516129035</v>
      </c>
      <c r="I31" s="2">
        <f t="shared" si="2"/>
        <v>12.63283870967742</v>
      </c>
    </row>
    <row r="32" spans="1:9" x14ac:dyDescent="0.15">
      <c r="A32">
        <v>31</v>
      </c>
      <c r="E32">
        <f>A32*200</f>
        <v>6200</v>
      </c>
      <c r="F32">
        <f t="shared" si="5"/>
        <v>67745</v>
      </c>
      <c r="G32">
        <f t="shared" si="0"/>
        <v>5459.6</v>
      </c>
      <c r="H32" s="2">
        <f t="shared" si="1"/>
        <v>0.85306250000000006</v>
      </c>
      <c r="I32" s="2">
        <f t="shared" si="2"/>
        <v>12.238062500000002</v>
      </c>
    </row>
    <row r="33" spans="1:9" x14ac:dyDescent="0.15">
      <c r="A33">
        <v>32</v>
      </c>
      <c r="E33">
        <f t="shared" ref="E33:E96" si="6">A33*200</f>
        <v>6400</v>
      </c>
      <c r="F33">
        <f t="shared" ref="F33:F96" si="7">F32+E33</f>
        <v>74145</v>
      </c>
      <c r="G33">
        <f t="shared" si="0"/>
        <v>5971.6</v>
      </c>
      <c r="H33" s="2">
        <f t="shared" si="1"/>
        <v>0.90478787878787881</v>
      </c>
      <c r="I33" s="2">
        <f t="shared" si="2"/>
        <v>11.867212121212122</v>
      </c>
    </row>
    <row r="34" spans="1:9" x14ac:dyDescent="0.15">
      <c r="A34">
        <v>33</v>
      </c>
      <c r="E34">
        <f t="shared" si="6"/>
        <v>6600</v>
      </c>
      <c r="F34">
        <f t="shared" si="7"/>
        <v>80745</v>
      </c>
      <c r="G34">
        <f t="shared" si="0"/>
        <v>6499.6</v>
      </c>
      <c r="H34" s="2">
        <f t="shared" si="1"/>
        <v>0.95582352941176474</v>
      </c>
      <c r="I34" s="2">
        <f t="shared" si="2"/>
        <v>11.518176470588235</v>
      </c>
    </row>
    <row r="35" spans="1:9" x14ac:dyDescent="0.15">
      <c r="A35">
        <v>34</v>
      </c>
      <c r="E35">
        <f t="shared" si="6"/>
        <v>6800</v>
      </c>
      <c r="F35">
        <f t="shared" si="7"/>
        <v>87545</v>
      </c>
      <c r="G35">
        <f t="shared" si="0"/>
        <v>7043.6</v>
      </c>
      <c r="H35" s="2">
        <f t="shared" si="1"/>
        <v>1.0062285714285715</v>
      </c>
      <c r="I35" s="2">
        <f t="shared" si="2"/>
        <v>11.189085714285715</v>
      </c>
    </row>
    <row r="36" spans="1:9" x14ac:dyDescent="0.15">
      <c r="A36">
        <v>35</v>
      </c>
      <c r="E36">
        <f t="shared" si="6"/>
        <v>7000</v>
      </c>
      <c r="F36">
        <f t="shared" si="7"/>
        <v>94545</v>
      </c>
      <c r="G36">
        <f t="shared" si="0"/>
        <v>7603.6</v>
      </c>
      <c r="H36" s="2">
        <f t="shared" si="1"/>
        <v>1.0560555555555555</v>
      </c>
      <c r="I36" s="2">
        <f t="shared" si="2"/>
        <v>10.878277777777779</v>
      </c>
    </row>
    <row r="37" spans="1:9" x14ac:dyDescent="0.15">
      <c r="A37">
        <v>36</v>
      </c>
      <c r="E37">
        <f t="shared" si="6"/>
        <v>7200</v>
      </c>
      <c r="F37">
        <f t="shared" si="7"/>
        <v>101745</v>
      </c>
      <c r="G37">
        <f t="shared" si="0"/>
        <v>8179.6</v>
      </c>
      <c r="H37" s="2">
        <f t="shared" si="1"/>
        <v>1.1053513513513513</v>
      </c>
      <c r="I37" s="2">
        <f t="shared" si="2"/>
        <v>10.58427027027027</v>
      </c>
    </row>
    <row r="38" spans="1:9" x14ac:dyDescent="0.15">
      <c r="A38">
        <v>37</v>
      </c>
      <c r="E38">
        <f t="shared" si="6"/>
        <v>7400</v>
      </c>
      <c r="F38">
        <f t="shared" si="7"/>
        <v>109145</v>
      </c>
      <c r="G38">
        <f t="shared" si="0"/>
        <v>8771.6</v>
      </c>
      <c r="H38" s="2">
        <f t="shared" si="1"/>
        <v>1.154157894736842</v>
      </c>
      <c r="I38" s="2">
        <f t="shared" si="2"/>
        <v>10.305736842105263</v>
      </c>
    </row>
    <row r="39" spans="1:9" x14ac:dyDescent="0.15">
      <c r="A39">
        <v>38</v>
      </c>
      <c r="E39">
        <f t="shared" si="6"/>
        <v>7600</v>
      </c>
      <c r="F39">
        <f t="shared" si="7"/>
        <v>116745</v>
      </c>
      <c r="G39">
        <f t="shared" si="0"/>
        <v>9379.6</v>
      </c>
      <c r="H39" s="2">
        <f t="shared" si="1"/>
        <v>1.2025128205128206</v>
      </c>
      <c r="I39" s="2">
        <f t="shared" si="2"/>
        <v>10.041487179487181</v>
      </c>
    </row>
    <row r="40" spans="1:9" x14ac:dyDescent="0.15">
      <c r="A40">
        <v>39</v>
      </c>
      <c r="E40">
        <f t="shared" si="6"/>
        <v>7800</v>
      </c>
      <c r="F40">
        <f t="shared" si="7"/>
        <v>124545</v>
      </c>
      <c r="G40">
        <f t="shared" si="0"/>
        <v>10003.6</v>
      </c>
      <c r="H40" s="2">
        <f t="shared" si="1"/>
        <v>1.2504500000000001</v>
      </c>
      <c r="I40" s="2">
        <f t="shared" si="2"/>
        <v>9.7904499999999999</v>
      </c>
    </row>
    <row r="41" spans="1:9" x14ac:dyDescent="0.15">
      <c r="A41">
        <v>40</v>
      </c>
      <c r="E41">
        <f t="shared" si="6"/>
        <v>8000</v>
      </c>
      <c r="F41">
        <f t="shared" si="7"/>
        <v>132545</v>
      </c>
      <c r="G41">
        <f t="shared" si="0"/>
        <v>10643.6</v>
      </c>
      <c r="H41" s="2">
        <f t="shared" si="1"/>
        <v>1.298</v>
      </c>
      <c r="I41" s="2">
        <f t="shared" si="2"/>
        <v>9.5516585365853661</v>
      </c>
    </row>
    <row r="42" spans="1:9" x14ac:dyDescent="0.15">
      <c r="A42">
        <v>41</v>
      </c>
      <c r="E42">
        <f t="shared" si="6"/>
        <v>8200</v>
      </c>
      <c r="F42">
        <f t="shared" si="7"/>
        <v>140745</v>
      </c>
      <c r="G42">
        <f t="shared" si="0"/>
        <v>11299.6</v>
      </c>
      <c r="H42" s="2">
        <f t="shared" si="1"/>
        <v>1.3451904761904763</v>
      </c>
      <c r="I42" s="2">
        <f t="shared" si="2"/>
        <v>9.3242380952380959</v>
      </c>
    </row>
    <row r="43" spans="1:9" x14ac:dyDescent="0.15">
      <c r="A43">
        <v>42</v>
      </c>
      <c r="E43">
        <f t="shared" si="6"/>
        <v>8400</v>
      </c>
      <c r="F43">
        <f t="shared" si="7"/>
        <v>149145</v>
      </c>
      <c r="G43">
        <f t="shared" si="0"/>
        <v>11971.6</v>
      </c>
      <c r="H43" s="2">
        <f t="shared" si="1"/>
        <v>1.392046511627907</v>
      </c>
      <c r="I43" s="2">
        <f t="shared" si="2"/>
        <v>9.1073953488372101</v>
      </c>
    </row>
    <row r="44" spans="1:9" x14ac:dyDescent="0.15">
      <c r="A44">
        <v>43</v>
      </c>
      <c r="E44">
        <f t="shared" si="6"/>
        <v>8600</v>
      </c>
      <c r="F44">
        <f t="shared" si="7"/>
        <v>157745</v>
      </c>
      <c r="G44">
        <f t="shared" si="0"/>
        <v>12659.6</v>
      </c>
      <c r="H44" s="2">
        <f t="shared" si="1"/>
        <v>1.438590909090909</v>
      </c>
      <c r="I44" s="2">
        <f t="shared" si="2"/>
        <v>8.9004090909090916</v>
      </c>
    </row>
    <row r="45" spans="1:9" x14ac:dyDescent="0.15">
      <c r="A45">
        <v>44</v>
      </c>
      <c r="E45">
        <f t="shared" si="6"/>
        <v>8800</v>
      </c>
      <c r="F45">
        <f t="shared" si="7"/>
        <v>166545</v>
      </c>
      <c r="G45">
        <f t="shared" si="0"/>
        <v>13363.6</v>
      </c>
      <c r="H45" s="2">
        <f t="shared" si="1"/>
        <v>1.4848444444444444</v>
      </c>
      <c r="I45" s="2">
        <f t="shared" si="2"/>
        <v>8.7026222222222227</v>
      </c>
    </row>
    <row r="46" spans="1:9" x14ac:dyDescent="0.15">
      <c r="A46">
        <v>45</v>
      </c>
      <c r="E46">
        <f t="shared" si="6"/>
        <v>9000</v>
      </c>
      <c r="F46">
        <f t="shared" si="7"/>
        <v>175545</v>
      </c>
      <c r="G46">
        <f t="shared" si="0"/>
        <v>14083.6</v>
      </c>
      <c r="H46" s="2">
        <f t="shared" si="1"/>
        <v>1.5308260869565218</v>
      </c>
      <c r="I46" s="2">
        <f t="shared" si="2"/>
        <v>8.5134347826086962</v>
      </c>
    </row>
    <row r="47" spans="1:9" x14ac:dyDescent="0.15">
      <c r="A47">
        <v>46</v>
      </c>
      <c r="E47">
        <f t="shared" si="6"/>
        <v>9200</v>
      </c>
      <c r="F47">
        <f t="shared" si="7"/>
        <v>184745</v>
      </c>
      <c r="G47">
        <f t="shared" si="0"/>
        <v>14819.6</v>
      </c>
      <c r="H47" s="2">
        <f t="shared" si="1"/>
        <v>1.5765531914893618</v>
      </c>
      <c r="I47" s="2">
        <f t="shared" si="2"/>
        <v>8.3322978723404262</v>
      </c>
    </row>
    <row r="48" spans="1:9" x14ac:dyDescent="0.15">
      <c r="A48">
        <v>47</v>
      </c>
      <c r="E48">
        <f t="shared" si="6"/>
        <v>9400</v>
      </c>
      <c r="F48">
        <f t="shared" si="7"/>
        <v>194145</v>
      </c>
      <c r="G48">
        <f t="shared" si="0"/>
        <v>15571.6</v>
      </c>
      <c r="H48" s="2">
        <f t="shared" si="1"/>
        <v>1.6220416666666666</v>
      </c>
      <c r="I48" s="2">
        <f t="shared" si="2"/>
        <v>8.1587083333333332</v>
      </c>
    </row>
    <row r="49" spans="1:9" x14ac:dyDescent="0.15">
      <c r="A49">
        <v>48</v>
      </c>
      <c r="E49">
        <f t="shared" si="6"/>
        <v>9600</v>
      </c>
      <c r="F49">
        <f t="shared" si="7"/>
        <v>203745</v>
      </c>
      <c r="G49">
        <f t="shared" si="0"/>
        <v>16339.6</v>
      </c>
      <c r="H49" s="2">
        <f t="shared" si="1"/>
        <v>1.6673061224489796</v>
      </c>
      <c r="I49" s="2">
        <f t="shared" si="2"/>
        <v>7.9922040816326536</v>
      </c>
    </row>
    <row r="50" spans="1:9" x14ac:dyDescent="0.15">
      <c r="A50">
        <v>49</v>
      </c>
      <c r="E50">
        <f t="shared" si="6"/>
        <v>9800</v>
      </c>
      <c r="F50">
        <f t="shared" si="7"/>
        <v>213545</v>
      </c>
      <c r="G50">
        <f t="shared" si="0"/>
        <v>17123.599999999999</v>
      </c>
      <c r="H50" s="2">
        <f t="shared" si="1"/>
        <v>1.7123599999999999</v>
      </c>
      <c r="I50" s="2">
        <f t="shared" si="2"/>
        <v>7.8323600000000004</v>
      </c>
    </row>
    <row r="51" spans="1:9" x14ac:dyDescent="0.15">
      <c r="A51">
        <v>50</v>
      </c>
      <c r="E51">
        <f t="shared" si="6"/>
        <v>10000</v>
      </c>
      <c r="F51">
        <f t="shared" si="7"/>
        <v>223545</v>
      </c>
      <c r="G51">
        <f t="shared" si="0"/>
        <v>17923.600000000002</v>
      </c>
      <c r="H51" s="2">
        <f t="shared" si="1"/>
        <v>1.7572156862745101</v>
      </c>
      <c r="I51" s="2">
        <f t="shared" si="2"/>
        <v>7.6787843137254912</v>
      </c>
    </row>
    <row r="52" spans="1:9" x14ac:dyDescent="0.15">
      <c r="A52">
        <v>51</v>
      </c>
      <c r="E52">
        <f t="shared" si="6"/>
        <v>10200</v>
      </c>
      <c r="F52">
        <f t="shared" si="7"/>
        <v>233745</v>
      </c>
      <c r="G52">
        <f t="shared" si="0"/>
        <v>18739.600000000002</v>
      </c>
      <c r="H52" s="2">
        <f t="shared" si="1"/>
        <v>1.8018846153846155</v>
      </c>
      <c r="I52" s="2">
        <f t="shared" si="2"/>
        <v>7.5311153846153855</v>
      </c>
    </row>
    <row r="53" spans="1:9" x14ac:dyDescent="0.15">
      <c r="A53">
        <v>52</v>
      </c>
      <c r="E53">
        <f t="shared" si="6"/>
        <v>10400</v>
      </c>
      <c r="F53">
        <f t="shared" si="7"/>
        <v>244145</v>
      </c>
      <c r="G53">
        <f t="shared" si="0"/>
        <v>19571.600000000002</v>
      </c>
      <c r="H53" s="2">
        <f t="shared" si="1"/>
        <v>1.8463773584905663</v>
      </c>
      <c r="I53" s="2">
        <f t="shared" si="2"/>
        <v>7.3890188679245288</v>
      </c>
    </row>
    <row r="54" spans="1:9" x14ac:dyDescent="0.15">
      <c r="A54">
        <v>53</v>
      </c>
      <c r="E54">
        <f t="shared" si="6"/>
        <v>10600</v>
      </c>
      <c r="F54">
        <f t="shared" si="7"/>
        <v>254745</v>
      </c>
      <c r="G54">
        <f t="shared" si="0"/>
        <v>20419.600000000002</v>
      </c>
      <c r="H54" s="2">
        <f t="shared" si="1"/>
        <v>1.890703703703704</v>
      </c>
      <c r="I54" s="2">
        <f t="shared" si="2"/>
        <v>7.2521851851851853</v>
      </c>
    </row>
    <row r="55" spans="1:9" x14ac:dyDescent="0.15">
      <c r="A55">
        <v>54</v>
      </c>
      <c r="E55">
        <f t="shared" si="6"/>
        <v>10800</v>
      </c>
      <c r="F55">
        <f t="shared" si="7"/>
        <v>265545</v>
      </c>
      <c r="G55">
        <f t="shared" si="0"/>
        <v>21283.600000000002</v>
      </c>
      <c r="H55" s="2">
        <f t="shared" si="1"/>
        <v>1.9348727272727275</v>
      </c>
      <c r="I55" s="2">
        <f t="shared" si="2"/>
        <v>7.1203272727272733</v>
      </c>
    </row>
    <row r="56" spans="1:9" x14ac:dyDescent="0.15">
      <c r="A56">
        <v>55</v>
      </c>
      <c r="E56">
        <f t="shared" si="6"/>
        <v>11000</v>
      </c>
      <c r="F56">
        <f t="shared" si="7"/>
        <v>276545</v>
      </c>
      <c r="G56">
        <f t="shared" si="0"/>
        <v>22163.600000000002</v>
      </c>
      <c r="H56" s="2">
        <f t="shared" si="1"/>
        <v>1.9788928571428572</v>
      </c>
      <c r="I56" s="2">
        <f t="shared" si="2"/>
        <v>6.9931785714285724</v>
      </c>
    </row>
    <row r="57" spans="1:9" x14ac:dyDescent="0.15">
      <c r="A57">
        <v>56</v>
      </c>
      <c r="E57">
        <f t="shared" si="6"/>
        <v>11200</v>
      </c>
      <c r="F57">
        <f t="shared" si="7"/>
        <v>287745</v>
      </c>
      <c r="G57">
        <f t="shared" si="0"/>
        <v>23059.600000000002</v>
      </c>
      <c r="H57" s="2">
        <f t="shared" si="1"/>
        <v>2.0227719298245614</v>
      </c>
      <c r="I57" s="2">
        <f t="shared" si="2"/>
        <v>6.8704912280701755</v>
      </c>
    </row>
    <row r="58" spans="1:9" x14ac:dyDescent="0.15">
      <c r="A58">
        <v>57</v>
      </c>
      <c r="E58">
        <f t="shared" si="6"/>
        <v>11400</v>
      </c>
      <c r="F58">
        <f t="shared" si="7"/>
        <v>299145</v>
      </c>
      <c r="G58">
        <f t="shared" si="0"/>
        <v>23971.600000000002</v>
      </c>
      <c r="H58" s="2">
        <f t="shared" si="1"/>
        <v>2.0665172413793105</v>
      </c>
      <c r="I58" s="2">
        <f t="shared" si="2"/>
        <v>6.7520344827586216</v>
      </c>
    </row>
    <row r="59" spans="1:9" x14ac:dyDescent="0.15">
      <c r="A59">
        <v>58</v>
      </c>
      <c r="E59">
        <f t="shared" si="6"/>
        <v>11600</v>
      </c>
      <c r="F59">
        <f t="shared" si="7"/>
        <v>310745</v>
      </c>
      <c r="G59">
        <f t="shared" si="0"/>
        <v>24899.600000000002</v>
      </c>
      <c r="H59" s="2">
        <f t="shared" si="1"/>
        <v>2.1101355932203392</v>
      </c>
      <c r="I59" s="2">
        <f t="shared" si="2"/>
        <v>6.6375932203389834</v>
      </c>
    </row>
    <row r="60" spans="1:9" x14ac:dyDescent="0.15">
      <c r="A60">
        <v>59</v>
      </c>
      <c r="E60">
        <f t="shared" si="6"/>
        <v>11800</v>
      </c>
      <c r="F60">
        <f t="shared" si="7"/>
        <v>322545</v>
      </c>
      <c r="G60">
        <f t="shared" si="0"/>
        <v>25843.600000000002</v>
      </c>
      <c r="H60" s="2">
        <f t="shared" si="1"/>
        <v>2.1536333333333335</v>
      </c>
      <c r="I60" s="2">
        <f t="shared" si="2"/>
        <v>6.5269666666666675</v>
      </c>
    </row>
    <row r="61" spans="1:9" x14ac:dyDescent="0.15">
      <c r="A61">
        <v>60</v>
      </c>
      <c r="E61">
        <f t="shared" si="6"/>
        <v>12000</v>
      </c>
      <c r="F61">
        <f t="shared" si="7"/>
        <v>334545</v>
      </c>
      <c r="G61">
        <f t="shared" si="0"/>
        <v>26803.600000000002</v>
      </c>
      <c r="H61" s="2">
        <f t="shared" si="1"/>
        <v>2.197016393442623</v>
      </c>
      <c r="I61" s="2">
        <f t="shared" si="2"/>
        <v>6.4199672131147549</v>
      </c>
    </row>
    <row r="62" spans="1:9" x14ac:dyDescent="0.15">
      <c r="A62">
        <v>61</v>
      </c>
      <c r="E62">
        <f t="shared" si="6"/>
        <v>12200</v>
      </c>
      <c r="F62">
        <f t="shared" si="7"/>
        <v>346745</v>
      </c>
      <c r="G62">
        <f t="shared" si="0"/>
        <v>27779.600000000002</v>
      </c>
      <c r="H62" s="2">
        <f t="shared" si="1"/>
        <v>2.2402903225806452</v>
      </c>
      <c r="I62" s="2">
        <f t="shared" si="2"/>
        <v>6.3164193548387102</v>
      </c>
    </row>
    <row r="63" spans="1:9" x14ac:dyDescent="0.15">
      <c r="A63">
        <v>62</v>
      </c>
      <c r="E63">
        <f t="shared" si="6"/>
        <v>12400</v>
      </c>
      <c r="F63">
        <f t="shared" si="7"/>
        <v>359145</v>
      </c>
      <c r="G63">
        <f t="shared" si="0"/>
        <v>28771.600000000002</v>
      </c>
      <c r="H63" s="2">
        <f t="shared" si="1"/>
        <v>2.2834603174603174</v>
      </c>
      <c r="I63" s="2">
        <f t="shared" si="2"/>
        <v>6.2161587301587309</v>
      </c>
    </row>
    <row r="64" spans="1:9" x14ac:dyDescent="0.15">
      <c r="A64">
        <v>63</v>
      </c>
      <c r="E64">
        <f t="shared" si="6"/>
        <v>12600</v>
      </c>
      <c r="F64">
        <f t="shared" si="7"/>
        <v>371745</v>
      </c>
      <c r="G64">
        <f t="shared" si="0"/>
        <v>29779.600000000002</v>
      </c>
      <c r="H64" s="2">
        <f t="shared" si="1"/>
        <v>2.3265312500000004</v>
      </c>
      <c r="I64" s="2">
        <f t="shared" si="2"/>
        <v>6.1190312500000008</v>
      </c>
    </row>
    <row r="65" spans="1:9" x14ac:dyDescent="0.15">
      <c r="A65">
        <v>64</v>
      </c>
      <c r="E65">
        <f t="shared" si="6"/>
        <v>12800</v>
      </c>
      <c r="F65">
        <f t="shared" si="7"/>
        <v>384545</v>
      </c>
      <c r="G65">
        <f t="shared" si="0"/>
        <v>30803.600000000002</v>
      </c>
      <c r="H65" s="2">
        <f t="shared" si="1"/>
        <v>2.3695076923076925</v>
      </c>
      <c r="I65" s="2">
        <f t="shared" si="2"/>
        <v>6.0248923076923084</v>
      </c>
    </row>
    <row r="66" spans="1:9" x14ac:dyDescent="0.15">
      <c r="A66">
        <v>65</v>
      </c>
      <c r="E66">
        <f t="shared" si="6"/>
        <v>13000</v>
      </c>
      <c r="F66">
        <f t="shared" si="7"/>
        <v>397545</v>
      </c>
      <c r="G66">
        <f t="shared" si="0"/>
        <v>31843.600000000002</v>
      </c>
      <c r="H66" s="2">
        <f t="shared" si="1"/>
        <v>2.4123939393939398</v>
      </c>
      <c r="I66" s="2">
        <f t="shared" si="2"/>
        <v>5.9336060606060608</v>
      </c>
    </row>
    <row r="67" spans="1:9" x14ac:dyDescent="0.15">
      <c r="A67">
        <v>66</v>
      </c>
      <c r="E67">
        <f t="shared" si="6"/>
        <v>13200</v>
      </c>
      <c r="F67">
        <f t="shared" si="7"/>
        <v>410745</v>
      </c>
      <c r="G67">
        <f t="shared" ref="G67:G101" si="8">F67*0.08+40</f>
        <v>32899.599999999999</v>
      </c>
      <c r="H67" s="2">
        <f t="shared" ref="H67:H101" si="9">G67/E68</f>
        <v>2.455194029850746</v>
      </c>
      <c r="I67" s="2">
        <f t="shared" ref="I67:I101" si="10">G$101/E68</f>
        <v>5.8450447761194031</v>
      </c>
    </row>
    <row r="68" spans="1:9" x14ac:dyDescent="0.15">
      <c r="A68">
        <v>67</v>
      </c>
      <c r="E68">
        <f t="shared" si="6"/>
        <v>13400</v>
      </c>
      <c r="F68">
        <f t="shared" si="7"/>
        <v>424145</v>
      </c>
      <c r="G68">
        <f t="shared" si="8"/>
        <v>33971.599999999999</v>
      </c>
      <c r="H68" s="2">
        <f t="shared" si="9"/>
        <v>2.4979117647058824</v>
      </c>
      <c r="I68" s="2">
        <f t="shared" si="10"/>
        <v>5.7590882352941177</v>
      </c>
    </row>
    <row r="69" spans="1:9" x14ac:dyDescent="0.15">
      <c r="A69">
        <v>68</v>
      </c>
      <c r="E69">
        <f t="shared" si="6"/>
        <v>13600</v>
      </c>
      <c r="F69">
        <f t="shared" si="7"/>
        <v>437745</v>
      </c>
      <c r="G69">
        <f t="shared" si="8"/>
        <v>35059.599999999999</v>
      </c>
      <c r="H69" s="2">
        <f t="shared" si="9"/>
        <v>2.5405507246376811</v>
      </c>
      <c r="I69" s="2">
        <f t="shared" si="10"/>
        <v>5.6756231884057975</v>
      </c>
    </row>
    <row r="70" spans="1:9" x14ac:dyDescent="0.15">
      <c r="A70">
        <v>69</v>
      </c>
      <c r="E70">
        <f t="shared" si="6"/>
        <v>13800</v>
      </c>
      <c r="F70">
        <f t="shared" si="7"/>
        <v>451545</v>
      </c>
      <c r="G70">
        <f t="shared" si="8"/>
        <v>36163.599999999999</v>
      </c>
      <c r="H70" s="2">
        <f t="shared" si="9"/>
        <v>2.5831142857142857</v>
      </c>
      <c r="I70" s="2">
        <f t="shared" si="10"/>
        <v>5.5945428571428577</v>
      </c>
    </row>
    <row r="71" spans="1:9" x14ac:dyDescent="0.15">
      <c r="A71">
        <v>70</v>
      </c>
      <c r="E71">
        <f t="shared" si="6"/>
        <v>14000</v>
      </c>
      <c r="F71">
        <f t="shared" si="7"/>
        <v>465545</v>
      </c>
      <c r="G71">
        <f t="shared" si="8"/>
        <v>37283.599999999999</v>
      </c>
      <c r="H71" s="2">
        <f t="shared" si="9"/>
        <v>2.6256056338028166</v>
      </c>
      <c r="I71" s="2">
        <f t="shared" si="10"/>
        <v>5.5157464788732398</v>
      </c>
    </row>
    <row r="72" spans="1:9" x14ac:dyDescent="0.15">
      <c r="A72">
        <v>71</v>
      </c>
      <c r="E72">
        <f t="shared" si="6"/>
        <v>14200</v>
      </c>
      <c r="F72">
        <f t="shared" si="7"/>
        <v>479745</v>
      </c>
      <c r="G72">
        <f t="shared" si="8"/>
        <v>38419.599999999999</v>
      </c>
      <c r="H72" s="2">
        <f t="shared" si="9"/>
        <v>2.6680277777777777</v>
      </c>
      <c r="I72" s="2">
        <f t="shared" si="10"/>
        <v>5.4391388888888894</v>
      </c>
    </row>
    <row r="73" spans="1:9" x14ac:dyDescent="0.15">
      <c r="A73">
        <v>72</v>
      </c>
      <c r="E73">
        <f t="shared" si="6"/>
        <v>14400</v>
      </c>
      <c r="F73">
        <f t="shared" si="7"/>
        <v>494145</v>
      </c>
      <c r="G73">
        <f t="shared" si="8"/>
        <v>39571.599999999999</v>
      </c>
      <c r="H73" s="2">
        <f t="shared" si="9"/>
        <v>2.7103835616438356</v>
      </c>
      <c r="I73" s="2">
        <f t="shared" si="10"/>
        <v>5.3646301369863014</v>
      </c>
    </row>
    <row r="74" spans="1:9" x14ac:dyDescent="0.15">
      <c r="A74">
        <v>73</v>
      </c>
      <c r="E74">
        <f t="shared" si="6"/>
        <v>14600</v>
      </c>
      <c r="F74">
        <f t="shared" si="7"/>
        <v>508745</v>
      </c>
      <c r="G74">
        <f t="shared" si="8"/>
        <v>40739.599999999999</v>
      </c>
      <c r="H74" s="2">
        <f t="shared" si="9"/>
        <v>2.7526756756756754</v>
      </c>
      <c r="I74" s="2">
        <f t="shared" si="10"/>
        <v>5.2921351351351351</v>
      </c>
    </row>
    <row r="75" spans="1:9" x14ac:dyDescent="0.15">
      <c r="A75">
        <v>74</v>
      </c>
      <c r="E75">
        <f t="shared" si="6"/>
        <v>14800</v>
      </c>
      <c r="F75">
        <f t="shared" si="7"/>
        <v>523545</v>
      </c>
      <c r="G75">
        <f t="shared" si="8"/>
        <v>41923.599999999999</v>
      </c>
      <c r="H75" s="2">
        <f t="shared" si="9"/>
        <v>2.7949066666666664</v>
      </c>
      <c r="I75" s="2">
        <f t="shared" si="10"/>
        <v>5.2215733333333336</v>
      </c>
    </row>
    <row r="76" spans="1:9" x14ac:dyDescent="0.15">
      <c r="A76">
        <v>75</v>
      </c>
      <c r="E76">
        <f t="shared" si="6"/>
        <v>15000</v>
      </c>
      <c r="F76">
        <f t="shared" si="7"/>
        <v>538545</v>
      </c>
      <c r="G76">
        <f t="shared" si="8"/>
        <v>43123.6</v>
      </c>
      <c r="H76" s="2">
        <f t="shared" si="9"/>
        <v>2.837078947368421</v>
      </c>
      <c r="I76" s="2">
        <f t="shared" si="10"/>
        <v>5.1528684210526317</v>
      </c>
    </row>
    <row r="77" spans="1:9" x14ac:dyDescent="0.15">
      <c r="A77">
        <v>76</v>
      </c>
      <c r="E77">
        <f t="shared" si="6"/>
        <v>15200</v>
      </c>
      <c r="F77">
        <f t="shared" si="7"/>
        <v>553745</v>
      </c>
      <c r="G77">
        <f t="shared" si="8"/>
        <v>44339.6</v>
      </c>
      <c r="H77" s="2">
        <f t="shared" si="9"/>
        <v>2.8791948051948051</v>
      </c>
      <c r="I77" s="2">
        <f t="shared" si="10"/>
        <v>5.0859480519480522</v>
      </c>
    </row>
    <row r="78" spans="1:9" x14ac:dyDescent="0.15">
      <c r="A78">
        <v>77</v>
      </c>
      <c r="E78">
        <f t="shared" si="6"/>
        <v>15400</v>
      </c>
      <c r="F78">
        <f t="shared" si="7"/>
        <v>569145</v>
      </c>
      <c r="G78">
        <f t="shared" si="8"/>
        <v>45571.6</v>
      </c>
      <c r="H78" s="2">
        <f t="shared" si="9"/>
        <v>2.9212564102564103</v>
      </c>
      <c r="I78" s="2">
        <f t="shared" si="10"/>
        <v>5.0207435897435904</v>
      </c>
    </row>
    <row r="79" spans="1:9" x14ac:dyDescent="0.15">
      <c r="A79">
        <v>78</v>
      </c>
      <c r="E79">
        <f t="shared" si="6"/>
        <v>15600</v>
      </c>
      <c r="F79">
        <f t="shared" si="7"/>
        <v>584745</v>
      </c>
      <c r="G79">
        <f t="shared" si="8"/>
        <v>46819.6</v>
      </c>
      <c r="H79" s="2">
        <f t="shared" si="9"/>
        <v>2.9632658227848099</v>
      </c>
      <c r="I79" s="2">
        <f t="shared" si="10"/>
        <v>4.9571898734177218</v>
      </c>
    </row>
    <row r="80" spans="1:9" x14ac:dyDescent="0.15">
      <c r="A80">
        <v>79</v>
      </c>
      <c r="E80">
        <f t="shared" si="6"/>
        <v>15800</v>
      </c>
      <c r="F80">
        <f t="shared" si="7"/>
        <v>600545</v>
      </c>
      <c r="G80">
        <f t="shared" si="8"/>
        <v>48083.6</v>
      </c>
      <c r="H80" s="2">
        <f t="shared" si="9"/>
        <v>3.0052249999999998</v>
      </c>
      <c r="I80" s="2">
        <f t="shared" si="10"/>
        <v>4.8952249999999999</v>
      </c>
    </row>
    <row r="81" spans="1:9" x14ac:dyDescent="0.15">
      <c r="A81">
        <v>80</v>
      </c>
      <c r="E81">
        <f t="shared" si="6"/>
        <v>16000</v>
      </c>
      <c r="F81">
        <f t="shared" si="7"/>
        <v>616545</v>
      </c>
      <c r="G81">
        <f t="shared" si="8"/>
        <v>49363.6</v>
      </c>
      <c r="H81" s="2">
        <f t="shared" si="9"/>
        <v>3.0471358024691355</v>
      </c>
      <c r="I81" s="2">
        <f t="shared" si="10"/>
        <v>4.8347901234567905</v>
      </c>
    </row>
    <row r="82" spans="1:9" x14ac:dyDescent="0.15">
      <c r="A82">
        <v>81</v>
      </c>
      <c r="E82">
        <f t="shared" si="6"/>
        <v>16200</v>
      </c>
      <c r="F82">
        <f t="shared" si="7"/>
        <v>632745</v>
      </c>
      <c r="G82">
        <f t="shared" si="8"/>
        <v>50659.6</v>
      </c>
      <c r="H82" s="2">
        <f t="shared" si="9"/>
        <v>3.089</v>
      </c>
      <c r="I82" s="2">
        <f t="shared" si="10"/>
        <v>4.7758292682926831</v>
      </c>
    </row>
    <row r="83" spans="1:9" x14ac:dyDescent="0.15">
      <c r="A83">
        <v>82</v>
      </c>
      <c r="E83">
        <f t="shared" si="6"/>
        <v>16400</v>
      </c>
      <c r="F83">
        <f t="shared" si="7"/>
        <v>649145</v>
      </c>
      <c r="G83">
        <f t="shared" si="8"/>
        <v>51971.6</v>
      </c>
      <c r="H83" s="2">
        <f t="shared" si="9"/>
        <v>3.1308192771084338</v>
      </c>
      <c r="I83" s="2">
        <f t="shared" si="10"/>
        <v>4.7182891566265059</v>
      </c>
    </row>
    <row r="84" spans="1:9" x14ac:dyDescent="0.15">
      <c r="A84">
        <v>83</v>
      </c>
      <c r="E84">
        <f t="shared" si="6"/>
        <v>16600</v>
      </c>
      <c r="F84">
        <f t="shared" si="7"/>
        <v>665745</v>
      </c>
      <c r="G84">
        <f t="shared" si="8"/>
        <v>53299.6</v>
      </c>
      <c r="H84" s="2">
        <f t="shared" si="9"/>
        <v>3.172595238095238</v>
      </c>
      <c r="I84" s="2">
        <f t="shared" si="10"/>
        <v>4.6621190476190479</v>
      </c>
    </row>
    <row r="85" spans="1:9" x14ac:dyDescent="0.15">
      <c r="A85">
        <v>84</v>
      </c>
      <c r="E85">
        <f t="shared" si="6"/>
        <v>16800</v>
      </c>
      <c r="F85">
        <f t="shared" si="7"/>
        <v>682545</v>
      </c>
      <c r="G85">
        <f t="shared" si="8"/>
        <v>54643.6</v>
      </c>
      <c r="H85" s="2">
        <f t="shared" si="9"/>
        <v>3.2143294117647057</v>
      </c>
      <c r="I85" s="2">
        <f t="shared" si="10"/>
        <v>4.6072705882352949</v>
      </c>
    </row>
    <row r="86" spans="1:9" x14ac:dyDescent="0.15">
      <c r="A86">
        <v>85</v>
      </c>
      <c r="E86">
        <f t="shared" si="6"/>
        <v>17000</v>
      </c>
      <c r="F86">
        <f t="shared" si="7"/>
        <v>699545</v>
      </c>
      <c r="G86">
        <f t="shared" si="8"/>
        <v>56003.6</v>
      </c>
      <c r="H86" s="2">
        <f t="shared" si="9"/>
        <v>3.2560232558139535</v>
      </c>
      <c r="I86" s="2">
        <f t="shared" si="10"/>
        <v>4.5536976744186051</v>
      </c>
    </row>
    <row r="87" spans="1:9" x14ac:dyDescent="0.15">
      <c r="A87">
        <v>86</v>
      </c>
      <c r="E87">
        <f t="shared" si="6"/>
        <v>17200</v>
      </c>
      <c r="F87">
        <f t="shared" si="7"/>
        <v>716745</v>
      </c>
      <c r="G87">
        <f t="shared" si="8"/>
        <v>57379.6</v>
      </c>
      <c r="H87" s="2">
        <f t="shared" si="9"/>
        <v>3.2976781609195402</v>
      </c>
      <c r="I87" s="2">
        <f t="shared" si="10"/>
        <v>4.5013563218390811</v>
      </c>
    </row>
    <row r="88" spans="1:9" x14ac:dyDescent="0.15">
      <c r="A88">
        <v>87</v>
      </c>
      <c r="E88">
        <f t="shared" si="6"/>
        <v>17400</v>
      </c>
      <c r="F88">
        <f t="shared" si="7"/>
        <v>734145</v>
      </c>
      <c r="G88">
        <f t="shared" si="8"/>
        <v>58771.6</v>
      </c>
      <c r="H88" s="2">
        <f t="shared" si="9"/>
        <v>3.3392954545454545</v>
      </c>
      <c r="I88" s="2">
        <f t="shared" si="10"/>
        <v>4.4502045454545458</v>
      </c>
    </row>
    <row r="89" spans="1:9" x14ac:dyDescent="0.15">
      <c r="A89">
        <v>88</v>
      </c>
      <c r="E89">
        <f t="shared" si="6"/>
        <v>17600</v>
      </c>
      <c r="F89">
        <f t="shared" si="7"/>
        <v>751745</v>
      </c>
      <c r="G89">
        <f t="shared" si="8"/>
        <v>60179.6</v>
      </c>
      <c r="H89" s="2">
        <f t="shared" si="9"/>
        <v>3.3808764044943818</v>
      </c>
      <c r="I89" s="2">
        <f t="shared" si="10"/>
        <v>4.4002022471910118</v>
      </c>
    </row>
    <row r="90" spans="1:9" x14ac:dyDescent="0.15">
      <c r="A90">
        <v>89</v>
      </c>
      <c r="E90">
        <f t="shared" si="6"/>
        <v>17800</v>
      </c>
      <c r="F90">
        <f t="shared" si="7"/>
        <v>769545</v>
      </c>
      <c r="G90">
        <f t="shared" si="8"/>
        <v>61603.6</v>
      </c>
      <c r="H90" s="2">
        <f t="shared" si="9"/>
        <v>3.422422222222222</v>
      </c>
      <c r="I90" s="2">
        <f t="shared" si="10"/>
        <v>4.3513111111111114</v>
      </c>
    </row>
    <row r="91" spans="1:9" x14ac:dyDescent="0.15">
      <c r="A91">
        <v>90</v>
      </c>
      <c r="E91">
        <f t="shared" si="6"/>
        <v>18000</v>
      </c>
      <c r="F91">
        <f t="shared" si="7"/>
        <v>787545</v>
      </c>
      <c r="G91">
        <f t="shared" si="8"/>
        <v>63043.6</v>
      </c>
      <c r="H91" s="2">
        <f t="shared" si="9"/>
        <v>3.4639340659340658</v>
      </c>
      <c r="I91" s="2">
        <f t="shared" si="10"/>
        <v>4.3034945054945055</v>
      </c>
    </row>
    <row r="92" spans="1:9" x14ac:dyDescent="0.15">
      <c r="A92">
        <v>91</v>
      </c>
      <c r="E92">
        <f t="shared" si="6"/>
        <v>18200</v>
      </c>
      <c r="F92">
        <f t="shared" si="7"/>
        <v>805745</v>
      </c>
      <c r="G92">
        <f t="shared" si="8"/>
        <v>64499.6</v>
      </c>
      <c r="H92" s="2">
        <f t="shared" si="9"/>
        <v>3.5054130434782609</v>
      </c>
      <c r="I92" s="2">
        <f t="shared" si="10"/>
        <v>4.2567173913043481</v>
      </c>
    </row>
    <row r="93" spans="1:9" x14ac:dyDescent="0.15">
      <c r="A93">
        <v>92</v>
      </c>
      <c r="E93">
        <f t="shared" si="6"/>
        <v>18400</v>
      </c>
      <c r="F93">
        <f t="shared" si="7"/>
        <v>824145</v>
      </c>
      <c r="G93">
        <f t="shared" si="8"/>
        <v>65971.600000000006</v>
      </c>
      <c r="H93" s="2">
        <f t="shared" si="9"/>
        <v>3.5468602150537638</v>
      </c>
      <c r="I93" s="2">
        <f t="shared" si="10"/>
        <v>4.2109462365591401</v>
      </c>
    </row>
    <row r="94" spans="1:9" x14ac:dyDescent="0.15">
      <c r="A94">
        <v>93</v>
      </c>
      <c r="E94">
        <f t="shared" si="6"/>
        <v>18600</v>
      </c>
      <c r="F94">
        <f t="shared" si="7"/>
        <v>842745</v>
      </c>
      <c r="G94">
        <f t="shared" si="8"/>
        <v>67459.600000000006</v>
      </c>
      <c r="H94" s="2">
        <f t="shared" si="9"/>
        <v>3.5882765957446812</v>
      </c>
      <c r="I94" s="2">
        <f t="shared" si="10"/>
        <v>4.1661489361702131</v>
      </c>
    </row>
    <row r="95" spans="1:9" x14ac:dyDescent="0.15">
      <c r="A95">
        <v>94</v>
      </c>
      <c r="E95">
        <f t="shared" si="6"/>
        <v>18800</v>
      </c>
      <c r="F95">
        <f t="shared" si="7"/>
        <v>861545</v>
      </c>
      <c r="G95">
        <f t="shared" si="8"/>
        <v>68963.600000000006</v>
      </c>
      <c r="H95" s="2">
        <f t="shared" si="9"/>
        <v>3.6296631578947371</v>
      </c>
      <c r="I95" s="2">
        <f t="shared" si="10"/>
        <v>4.1222947368421057</v>
      </c>
    </row>
    <row r="96" spans="1:9" x14ac:dyDescent="0.15">
      <c r="A96">
        <v>95</v>
      </c>
      <c r="E96">
        <f t="shared" si="6"/>
        <v>19000</v>
      </c>
      <c r="F96">
        <f t="shared" si="7"/>
        <v>880545</v>
      </c>
      <c r="G96">
        <f t="shared" si="8"/>
        <v>70483.600000000006</v>
      </c>
      <c r="H96" s="2">
        <f t="shared" si="9"/>
        <v>3.6710208333333338</v>
      </c>
      <c r="I96" s="2">
        <f t="shared" si="10"/>
        <v>4.0793541666666666</v>
      </c>
    </row>
    <row r="97" spans="1:9" x14ac:dyDescent="0.15">
      <c r="A97">
        <v>96</v>
      </c>
      <c r="E97">
        <f t="shared" ref="E97:E101" si="11">A97*200</f>
        <v>19200</v>
      </c>
      <c r="F97">
        <f t="shared" ref="F97:F101" si="12">F96+E97</f>
        <v>899745</v>
      </c>
      <c r="G97">
        <f t="shared" si="8"/>
        <v>72019.600000000006</v>
      </c>
      <c r="H97" s="2">
        <f t="shared" si="9"/>
        <v>3.712350515463918</v>
      </c>
      <c r="I97" s="2">
        <f t="shared" si="10"/>
        <v>4.0372989690721655</v>
      </c>
    </row>
    <row r="98" spans="1:9" x14ac:dyDescent="0.15">
      <c r="A98">
        <v>97</v>
      </c>
      <c r="E98">
        <f t="shared" si="11"/>
        <v>19400</v>
      </c>
      <c r="F98">
        <f t="shared" si="12"/>
        <v>919145</v>
      </c>
      <c r="G98">
        <f t="shared" si="8"/>
        <v>73571.600000000006</v>
      </c>
      <c r="H98" s="2">
        <f t="shared" si="9"/>
        <v>3.7536530612244903</v>
      </c>
      <c r="I98" s="2">
        <f t="shared" si="10"/>
        <v>3.9961020408163268</v>
      </c>
    </row>
    <row r="99" spans="1:9" x14ac:dyDescent="0.15">
      <c r="A99">
        <v>98</v>
      </c>
      <c r="E99">
        <f t="shared" si="11"/>
        <v>19600</v>
      </c>
      <c r="F99">
        <f t="shared" si="12"/>
        <v>938745</v>
      </c>
      <c r="G99">
        <f t="shared" si="8"/>
        <v>75139.600000000006</v>
      </c>
      <c r="H99" s="2">
        <f t="shared" si="9"/>
        <v>3.794929292929293</v>
      </c>
      <c r="I99" s="2">
        <f t="shared" si="10"/>
        <v>3.955737373737374</v>
      </c>
    </row>
    <row r="100" spans="1:9" x14ac:dyDescent="0.15">
      <c r="A100">
        <v>99</v>
      </c>
      <c r="E100">
        <f t="shared" si="11"/>
        <v>19800</v>
      </c>
      <c r="F100">
        <f t="shared" si="12"/>
        <v>958545</v>
      </c>
      <c r="G100">
        <f t="shared" si="8"/>
        <v>76723.600000000006</v>
      </c>
      <c r="H100" s="2">
        <f t="shared" si="9"/>
        <v>3.8361800000000001</v>
      </c>
      <c r="I100" s="2">
        <f t="shared" si="10"/>
        <v>3.9161800000000002</v>
      </c>
    </row>
    <row r="101" spans="1:9" x14ac:dyDescent="0.15">
      <c r="A101">
        <v>100</v>
      </c>
      <c r="E101">
        <f t="shared" si="11"/>
        <v>20000</v>
      </c>
      <c r="F101">
        <f t="shared" si="12"/>
        <v>978545</v>
      </c>
      <c r="G101">
        <f t="shared" si="8"/>
        <v>78323.600000000006</v>
      </c>
      <c r="H101" s="2" t="e">
        <f t="shared" si="9"/>
        <v>#DIV/0!</v>
      </c>
      <c r="I101" s="2" t="e">
        <f t="shared" si="10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1"/>
  <sheetViews>
    <sheetView workbookViewId="0">
      <selection activeCell="E3" sqref="E3"/>
    </sheetView>
  </sheetViews>
  <sheetFormatPr defaultRowHeight="13.5" x14ac:dyDescent="0.15"/>
  <cols>
    <col min="6" max="6" width="9.875" bestFit="1" customWidth="1"/>
  </cols>
  <sheetData>
    <row r="1" spans="1:12" x14ac:dyDescent="0.15">
      <c r="A1" t="s">
        <v>0</v>
      </c>
      <c r="B1" t="s">
        <v>7</v>
      </c>
      <c r="C1" t="s">
        <v>8</v>
      </c>
      <c r="D1" s="1" t="s">
        <v>13</v>
      </c>
      <c r="E1" s="1" t="s">
        <v>14</v>
      </c>
      <c r="F1" s="1" t="s">
        <v>6</v>
      </c>
      <c r="H1" t="s">
        <v>10</v>
      </c>
      <c r="I1">
        <v>40</v>
      </c>
      <c r="K1" t="s">
        <v>12</v>
      </c>
      <c r="L1">
        <v>3000</v>
      </c>
    </row>
    <row r="2" spans="1:12" x14ac:dyDescent="0.15">
      <c r="A2">
        <v>1</v>
      </c>
      <c r="B2">
        <f>xp!F2*0.08+40</f>
        <v>40</v>
      </c>
      <c r="C2">
        <f>xp!F2*$I$2+$I$1</f>
        <v>40</v>
      </c>
      <c r="D2" s="2">
        <f>B2/xp!E3</f>
        <v>0.22222222222222221</v>
      </c>
      <c r="E2" s="2">
        <f>C2/xp!E3</f>
        <v>0.22222222222222221</v>
      </c>
      <c r="F2" s="2"/>
      <c r="H2" t="s">
        <v>9</v>
      </c>
      <c r="I2">
        <v>0.09</v>
      </c>
      <c r="K2" t="s">
        <v>11</v>
      </c>
      <c r="L2">
        <v>0.04</v>
      </c>
    </row>
    <row r="3" spans="1:12" x14ac:dyDescent="0.15">
      <c r="A3">
        <v>2</v>
      </c>
      <c r="B3">
        <f>xp!F3*0.08+40</f>
        <v>54.4</v>
      </c>
      <c r="C3">
        <f>xp!F3*$I$2+$I$1</f>
        <v>56.2</v>
      </c>
      <c r="D3" s="2">
        <f>B3/xp!E4</f>
        <v>0.16484848484848486</v>
      </c>
      <c r="E3" s="2">
        <f>C3/xp!E4</f>
        <v>0.17030303030303032</v>
      </c>
      <c r="F3" s="2"/>
    </row>
    <row r="4" spans="1:12" x14ac:dyDescent="0.15">
      <c r="A4">
        <v>3</v>
      </c>
      <c r="B4">
        <f>xp!F4*0.08+40</f>
        <v>80.800000000000011</v>
      </c>
      <c r="C4">
        <f>xp!F4*$I$2+$I$1</f>
        <v>85.9</v>
      </c>
      <c r="D4" s="2">
        <f>B4/xp!E5</f>
        <v>0.17955555555555558</v>
      </c>
      <c r="E4" s="2">
        <f>C4/xp!E5</f>
        <v>0.19088888888888891</v>
      </c>
      <c r="F4" s="2"/>
    </row>
    <row r="5" spans="1:12" x14ac:dyDescent="0.15">
      <c r="A5">
        <v>4</v>
      </c>
      <c r="B5">
        <f>xp!F5*0.08+40</f>
        <v>116.8</v>
      </c>
      <c r="C5">
        <f>xp!F5*$I$2+$I$1</f>
        <v>126.39999999999999</v>
      </c>
      <c r="D5" s="2">
        <f>B5/xp!E6</f>
        <v>0.20857142857142857</v>
      </c>
      <c r="E5" s="2">
        <f>C5/xp!E6</f>
        <v>0.2257142857142857</v>
      </c>
      <c r="F5" s="2"/>
    </row>
    <row r="6" spans="1:12" x14ac:dyDescent="0.15">
      <c r="A6">
        <v>5</v>
      </c>
      <c r="B6">
        <f>xp!F6*0.08+40</f>
        <v>161.60000000000002</v>
      </c>
      <c r="C6">
        <f>xp!F6*$I$2+$I$1</f>
        <v>176.79999999999998</v>
      </c>
      <c r="D6" s="2">
        <f>B6/xp!E7</f>
        <v>0.27389830508474577</v>
      </c>
      <c r="E6" s="2">
        <f>C6/xp!E7</f>
        <v>0.29966101694915254</v>
      </c>
      <c r="F6" s="2"/>
    </row>
    <row r="7" spans="1:12" x14ac:dyDescent="0.15">
      <c r="A7">
        <v>6</v>
      </c>
      <c r="B7">
        <f>xp!F7*0.08+40</f>
        <v>208.8</v>
      </c>
      <c r="C7">
        <f>xp!F7*$I$2+$I$1</f>
        <v>229.9</v>
      </c>
      <c r="D7" s="2">
        <f>B7/xp!E8</f>
        <v>0.28216216216216217</v>
      </c>
      <c r="E7" s="2">
        <f>C7/xp!E8</f>
        <v>0.31067567567567567</v>
      </c>
      <c r="F7" s="2"/>
    </row>
    <row r="8" spans="1:12" x14ac:dyDescent="0.15">
      <c r="A8">
        <v>7</v>
      </c>
      <c r="B8">
        <f>xp!F8*0.08+40</f>
        <v>268</v>
      </c>
      <c r="C8">
        <f>xp!F8*$I$2+$I$1</f>
        <v>296.5</v>
      </c>
      <c r="D8" s="2">
        <f>B8/xp!E9</f>
        <v>0.3392405063291139</v>
      </c>
      <c r="E8" s="2">
        <f>C8/xp!E9</f>
        <v>0.37531645569620253</v>
      </c>
      <c r="F8" s="2"/>
    </row>
    <row r="9" spans="1:12" x14ac:dyDescent="0.15">
      <c r="A9">
        <v>8</v>
      </c>
      <c r="B9">
        <f>xp!F9*0.08+40</f>
        <v>331.2</v>
      </c>
      <c r="C9">
        <f>xp!F9*$I$2+$I$1</f>
        <v>367.59999999999997</v>
      </c>
      <c r="D9" s="2">
        <f>B9/xp!E10</f>
        <v>0.39428571428571429</v>
      </c>
      <c r="E9" s="2">
        <f>C9/xp!E10</f>
        <v>0.43761904761904757</v>
      </c>
      <c r="F9" s="2"/>
    </row>
    <row r="10" spans="1:12" x14ac:dyDescent="0.15">
      <c r="A10">
        <v>9</v>
      </c>
      <c r="B10">
        <f>xp!F10*0.08+40</f>
        <v>398.40000000000003</v>
      </c>
      <c r="C10">
        <f>xp!F10*$I$2+$I$1</f>
        <v>443.2</v>
      </c>
      <c r="D10" s="2">
        <f>B10/xp!E11</f>
        <v>0.4476404494382023</v>
      </c>
      <c r="E10" s="2">
        <f>C10/xp!E11</f>
        <v>0.4979775280898876</v>
      </c>
      <c r="F10" s="2"/>
    </row>
    <row r="11" spans="1:12" x14ac:dyDescent="0.15">
      <c r="A11">
        <v>10</v>
      </c>
      <c r="B11">
        <f>xp!F11*0.08+40</f>
        <v>469.6</v>
      </c>
      <c r="C11">
        <f>xp!F11*$I$2+$I$1</f>
        <v>523.29999999999995</v>
      </c>
      <c r="D11" s="2">
        <f>B11/xp!E12</f>
        <v>0.49957446808510642</v>
      </c>
      <c r="E11" s="2">
        <f>C11/xp!E12</f>
        <v>0.55670212765957439</v>
      </c>
      <c r="F11" s="2"/>
    </row>
    <row r="12" spans="1:12" x14ac:dyDescent="0.15">
      <c r="A12">
        <v>11</v>
      </c>
      <c r="B12">
        <f>xp!F12*0.08+40</f>
        <v>544.79999999999995</v>
      </c>
      <c r="C12">
        <f>xp!F12*$I$2+$I$1</f>
        <v>607.9</v>
      </c>
      <c r="D12" s="2">
        <f>B12/xp!E13</f>
        <v>0.5091588785046729</v>
      </c>
      <c r="E12" s="2">
        <f>C12/xp!E13</f>
        <v>0.56813084112149526</v>
      </c>
      <c r="F12" s="2"/>
    </row>
    <row r="13" spans="1:12" x14ac:dyDescent="0.15">
      <c r="A13">
        <v>12</v>
      </c>
      <c r="B13">
        <f>xp!F13*0.08+40</f>
        <v>630.4</v>
      </c>
      <c r="C13">
        <f>xp!F13*$I$2+$I$1</f>
        <v>704.19999999999993</v>
      </c>
      <c r="D13" s="2">
        <f>B13/xp!E14</f>
        <v>0.52533333333333332</v>
      </c>
      <c r="E13" s="2">
        <f>C13/xp!E14</f>
        <v>0.58683333333333332</v>
      </c>
      <c r="F13" s="2"/>
    </row>
    <row r="14" spans="1:12" x14ac:dyDescent="0.15">
      <c r="A14">
        <v>13</v>
      </c>
      <c r="B14">
        <f>xp!F14*0.08+40</f>
        <v>726.4</v>
      </c>
      <c r="C14">
        <f>xp!F14*$I$2+$I$1</f>
        <v>812.19999999999993</v>
      </c>
      <c r="D14" s="2">
        <f>B14/xp!E15</f>
        <v>0.50975438596491229</v>
      </c>
      <c r="E14" s="2">
        <f>C14/xp!E15</f>
        <v>0.56996491228070167</v>
      </c>
      <c r="F14" s="2"/>
    </row>
    <row r="15" spans="1:12" x14ac:dyDescent="0.15">
      <c r="A15">
        <v>14</v>
      </c>
      <c r="B15">
        <f>xp!F15*0.08+40</f>
        <v>840.4</v>
      </c>
      <c r="C15">
        <f>xp!F15*$I$2+$I$1</f>
        <v>940.44999999999993</v>
      </c>
      <c r="D15" s="2">
        <f>B15/xp!E16</f>
        <v>0.54219354838709677</v>
      </c>
      <c r="E15" s="2">
        <f>C15/xp!E16</f>
        <v>0.6067419354838709</v>
      </c>
      <c r="F15" s="2"/>
    </row>
    <row r="16" spans="1:12" x14ac:dyDescent="0.15">
      <c r="A16">
        <v>15</v>
      </c>
      <c r="B16">
        <f>xp!F16*0.08+40</f>
        <v>964.4</v>
      </c>
      <c r="C16">
        <f>xp!F16*$I$2+$I$1</f>
        <v>1079.95</v>
      </c>
      <c r="D16" s="2">
        <f>B16/xp!E17</f>
        <v>0.57576119402985071</v>
      </c>
      <c r="E16" s="2">
        <f>C16/xp!E17</f>
        <v>0.64474626865671647</v>
      </c>
      <c r="F16" s="2"/>
    </row>
    <row r="17" spans="1:6" x14ac:dyDescent="0.15">
      <c r="A17">
        <v>16</v>
      </c>
      <c r="B17">
        <f>xp!F17*0.08+40</f>
        <v>1098.4000000000001</v>
      </c>
      <c r="C17">
        <f>xp!F17*$I$2+$I$1</f>
        <v>1230.7</v>
      </c>
      <c r="D17" s="2">
        <f>B17/xp!E18</f>
        <v>0.61022222222222222</v>
      </c>
      <c r="E17" s="2">
        <f>C17/xp!E18</f>
        <v>0.68372222222222223</v>
      </c>
      <c r="F17" s="2"/>
    </row>
    <row r="18" spans="1:6" x14ac:dyDescent="0.15">
      <c r="A18">
        <v>17</v>
      </c>
      <c r="B18">
        <f>xp!F18*0.08+40</f>
        <v>1242.4000000000001</v>
      </c>
      <c r="C18">
        <f>xp!F18*$I$2+$I$1</f>
        <v>1392.7</v>
      </c>
      <c r="D18" s="2">
        <f>B18/xp!E19</f>
        <v>0.64540259740259742</v>
      </c>
      <c r="E18" s="2">
        <f>C18/xp!E19</f>
        <v>0.7234805194805195</v>
      </c>
      <c r="F18" s="2"/>
    </row>
    <row r="19" spans="1:6" x14ac:dyDescent="0.15">
      <c r="A19">
        <v>18</v>
      </c>
      <c r="B19">
        <f>xp!F19*0.08+40</f>
        <v>1396.4</v>
      </c>
      <c r="C19">
        <f>xp!F19*$I$2+$I$1</f>
        <v>1565.95</v>
      </c>
      <c r="D19" s="2">
        <f>B19/xp!E20</f>
        <v>0.69820000000000004</v>
      </c>
      <c r="E19" s="2">
        <f>C19/xp!E20</f>
        <v>0.78297499999999998</v>
      </c>
      <c r="F19" s="2"/>
    </row>
    <row r="20" spans="1:6" x14ac:dyDescent="0.15">
      <c r="A20">
        <v>19</v>
      </c>
      <c r="B20">
        <f>xp!F20*0.08+40</f>
        <v>1556.4</v>
      </c>
      <c r="C20">
        <f>xp!F20*$I$2+$I$1</f>
        <v>1745.95</v>
      </c>
      <c r="D20" s="2">
        <f>B20/xp!E21</f>
        <v>0.74468899521531107</v>
      </c>
      <c r="E20" s="2">
        <f>C20/xp!E21</f>
        <v>0.83538277511961723</v>
      </c>
      <c r="F20" s="2"/>
    </row>
    <row r="21" spans="1:6" x14ac:dyDescent="0.15">
      <c r="A21">
        <v>20</v>
      </c>
      <c r="B21">
        <f>xp!F21*0.08+40</f>
        <v>1723.6000000000001</v>
      </c>
      <c r="C21">
        <f>xp!F21*$I$2+$I$1</f>
        <v>1934.05</v>
      </c>
      <c r="D21" s="2">
        <f>B21/xp!E22</f>
        <v>0.8207619047619048</v>
      </c>
      <c r="E21" s="2">
        <f>C21/xp!E22</f>
        <v>0.9209761904761905</v>
      </c>
      <c r="F21" s="2"/>
    </row>
    <row r="22" spans="1:6" x14ac:dyDescent="0.15">
      <c r="A22">
        <v>21</v>
      </c>
      <c r="B22">
        <f>xp!F22*0.08+40</f>
        <v>1891.6000000000001</v>
      </c>
      <c r="C22">
        <f>xp!F22*$I$2+$I$1</f>
        <v>2123.0499999999997</v>
      </c>
      <c r="D22" s="2">
        <f>B22/xp!E23</f>
        <v>0.80493617021276598</v>
      </c>
      <c r="E22" s="2">
        <f>C22/xp!E23</f>
        <v>0.9034255319148935</v>
      </c>
      <c r="F22" s="2"/>
    </row>
    <row r="23" spans="1:6" x14ac:dyDescent="0.15">
      <c r="A23">
        <v>22</v>
      </c>
      <c r="B23">
        <f>xp!F23*0.08+40</f>
        <v>2079.6000000000004</v>
      </c>
      <c r="C23">
        <f>xp!F23*$I$2+$I$1</f>
        <v>2334.5499999999997</v>
      </c>
      <c r="D23" s="2">
        <f>B23/xp!E24</f>
        <v>0.79984615384615398</v>
      </c>
      <c r="E23" s="2">
        <f>C23/xp!E24</f>
        <v>0.897903846153846</v>
      </c>
      <c r="F23" s="2"/>
    </row>
    <row r="24" spans="1:6" x14ac:dyDescent="0.15">
      <c r="A24">
        <v>23</v>
      </c>
      <c r="B24">
        <f>xp!F24*0.08+40</f>
        <v>2287.6</v>
      </c>
      <c r="C24">
        <f>xp!F24*$I$2+$I$1</f>
        <v>2568.5499999999997</v>
      </c>
      <c r="D24" s="2">
        <f>B24/xp!E25</f>
        <v>0.80266666666666664</v>
      </c>
      <c r="E24" s="2">
        <f>C24/xp!E25</f>
        <v>0.90124561403508763</v>
      </c>
      <c r="F24" s="2"/>
    </row>
    <row r="25" spans="1:6" x14ac:dyDescent="0.15">
      <c r="A25">
        <v>24</v>
      </c>
      <c r="B25">
        <f>xp!F25*0.08+40</f>
        <v>2515.6</v>
      </c>
      <c r="C25">
        <f>xp!F25*$I$2+$I$1</f>
        <v>2825.0499999999997</v>
      </c>
      <c r="D25" s="2">
        <f>B25/xp!E26</f>
        <v>0.81148387096774188</v>
      </c>
      <c r="E25" s="2">
        <f>C25/xp!E26</f>
        <v>0.91130645161290313</v>
      </c>
      <c r="F25" s="2"/>
    </row>
    <row r="26" spans="1:6" x14ac:dyDescent="0.15">
      <c r="A26">
        <v>25</v>
      </c>
      <c r="B26">
        <f>xp!F26*0.08+40</f>
        <v>2763.6</v>
      </c>
      <c r="C26">
        <f>xp!F26*$I$2+$I$1</f>
        <v>3104.0499999999997</v>
      </c>
      <c r="D26" s="2">
        <f>B26/xp!E27</f>
        <v>0.78959999999999997</v>
      </c>
      <c r="E26" s="2">
        <f>C26/xp!E27</f>
        <v>0.88687142857142853</v>
      </c>
      <c r="F26" s="2"/>
    </row>
    <row r="27" spans="1:6" x14ac:dyDescent="0.15">
      <c r="A27">
        <v>26</v>
      </c>
      <c r="B27">
        <f>xp!F27*0.08+40</f>
        <v>3043.6</v>
      </c>
      <c r="C27">
        <f>xp!F27*$I$2+$I$1</f>
        <v>3419.0499999999997</v>
      </c>
      <c r="D27" s="2">
        <f>B27/xp!E28</f>
        <v>0.67635555555555549</v>
      </c>
      <c r="E27" s="2">
        <f>C27/xp!E28</f>
        <v>0.75978888888888885</v>
      </c>
      <c r="F27" s="2"/>
    </row>
    <row r="28" spans="1:6" x14ac:dyDescent="0.15">
      <c r="A28">
        <v>27</v>
      </c>
      <c r="B28">
        <f>xp!F28*0.08+40</f>
        <v>3403.6</v>
      </c>
      <c r="C28">
        <f>xp!F28*$I$2+$I$1</f>
        <v>3824.0499999999997</v>
      </c>
      <c r="D28" s="2">
        <f>B28/xp!E29</f>
        <v>0.61883636363636363</v>
      </c>
      <c r="E28" s="2">
        <f>C28/xp!E29</f>
        <v>0.69528181818181811</v>
      </c>
      <c r="F28" s="2"/>
    </row>
    <row r="29" spans="1:6" x14ac:dyDescent="0.15">
      <c r="A29">
        <v>28</v>
      </c>
      <c r="B29">
        <f>xp!F29*0.08+40</f>
        <v>3843.6</v>
      </c>
      <c r="C29">
        <f>xp!F29*$I$2+$I$1</f>
        <v>4319.05</v>
      </c>
      <c r="D29" s="2">
        <f>B29/xp!E30</f>
        <v>0.59132307692307695</v>
      </c>
      <c r="E29" s="2">
        <f>C29/xp!E30</f>
        <v>0.66446923076923081</v>
      </c>
      <c r="F29" s="2"/>
    </row>
    <row r="30" spans="1:6" x14ac:dyDescent="0.15">
      <c r="A30">
        <v>29</v>
      </c>
      <c r="B30">
        <f>xp!F30*0.08+40</f>
        <v>4363.6000000000004</v>
      </c>
      <c r="C30">
        <f>xp!F30*$I$2+$I$1</f>
        <v>4904.05</v>
      </c>
      <c r="D30" s="2">
        <f>B30/xp!E31</f>
        <v>0.5818133333333334</v>
      </c>
      <c r="E30" s="2">
        <f>C30/xp!E31</f>
        <v>0.65387333333333331</v>
      </c>
      <c r="F30" s="2"/>
    </row>
    <row r="31" spans="1:6" x14ac:dyDescent="0.15">
      <c r="A31">
        <v>30</v>
      </c>
      <c r="B31">
        <f>xp!F31*0.08+40</f>
        <v>4963.6000000000004</v>
      </c>
      <c r="C31">
        <f>xp!F31*$I$2+$I$1</f>
        <v>5579.05</v>
      </c>
      <c r="D31" s="2">
        <f>B31/xp!E32</f>
        <v>0.80058064516129035</v>
      </c>
      <c r="E31" s="2">
        <f>C31/xp!E32</f>
        <v>0.89984677419354842</v>
      </c>
      <c r="F31" s="2">
        <f>C$101/xp!E32</f>
        <v>6.7970645161290326</v>
      </c>
    </row>
    <row r="32" spans="1:6" x14ac:dyDescent="0.15">
      <c r="A32">
        <v>31</v>
      </c>
      <c r="B32">
        <f>xp!F32*0.08+40</f>
        <v>5459.6</v>
      </c>
      <c r="C32" s="3">
        <f>xp!F32*$L$2+$L$1</f>
        <v>5709.8</v>
      </c>
      <c r="D32" s="2">
        <f>B32/xp!E33</f>
        <v>0.85306250000000006</v>
      </c>
      <c r="E32" s="2">
        <f>C32/xp!E33</f>
        <v>0.89215624999999998</v>
      </c>
      <c r="F32" s="2">
        <f>C$101/xp!E33</f>
        <v>6.5846562500000001</v>
      </c>
    </row>
    <row r="33" spans="1:6" x14ac:dyDescent="0.15">
      <c r="A33">
        <v>32</v>
      </c>
      <c r="B33">
        <f>xp!F33*0.08+40</f>
        <v>5971.6</v>
      </c>
      <c r="C33">
        <f>xp!F33*$L$2+$L$1</f>
        <v>5965.8</v>
      </c>
      <c r="D33" s="2">
        <f>B33/xp!E34</f>
        <v>0.90478787878787881</v>
      </c>
      <c r="E33" s="2">
        <f>C33/xp!E34</f>
        <v>0.90390909090909088</v>
      </c>
      <c r="F33" s="2">
        <f>C$101/xp!E34</f>
        <v>6.3851212121212129</v>
      </c>
    </row>
    <row r="34" spans="1:6" x14ac:dyDescent="0.15">
      <c r="A34">
        <v>33</v>
      </c>
      <c r="B34">
        <f>xp!F34*0.08+40</f>
        <v>6499.6</v>
      </c>
      <c r="C34">
        <f>xp!F34*$L$2+$L$1</f>
        <v>6229.8</v>
      </c>
      <c r="D34" s="2">
        <f>B34/xp!E35</f>
        <v>0.95582352941176474</v>
      </c>
      <c r="E34" s="2">
        <f>C34/xp!E35</f>
        <v>0.91614705882352943</v>
      </c>
      <c r="F34" s="2">
        <f>C$101/xp!E35</f>
        <v>6.197323529411765</v>
      </c>
    </row>
    <row r="35" spans="1:6" x14ac:dyDescent="0.15">
      <c r="A35">
        <v>34</v>
      </c>
      <c r="B35">
        <f>xp!F35*0.08+40</f>
        <v>7043.6</v>
      </c>
      <c r="C35">
        <f>xp!F35*$L$2+$L$1</f>
        <v>6501.8</v>
      </c>
      <c r="D35" s="2">
        <f>B35/xp!E36</f>
        <v>1.0062285714285715</v>
      </c>
      <c r="E35" s="2">
        <f>C35/xp!E36</f>
        <v>0.92882857142857145</v>
      </c>
      <c r="F35" s="2">
        <f>C$101/xp!E36</f>
        <v>6.020257142857143</v>
      </c>
    </row>
    <row r="36" spans="1:6" x14ac:dyDescent="0.15">
      <c r="A36">
        <v>35</v>
      </c>
      <c r="B36">
        <f>xp!F36*0.08+40</f>
        <v>7603.6</v>
      </c>
      <c r="C36">
        <f>xp!F36*$L$2+$L$1</f>
        <v>6781.8</v>
      </c>
      <c r="D36" s="2">
        <f>B36/xp!E37</f>
        <v>1.0560555555555555</v>
      </c>
      <c r="E36" s="2">
        <f>C36/xp!E37</f>
        <v>0.94191666666666674</v>
      </c>
      <c r="F36" s="2">
        <f>C$101/xp!E37</f>
        <v>5.8530277777777782</v>
      </c>
    </row>
    <row r="37" spans="1:6" x14ac:dyDescent="0.15">
      <c r="A37">
        <v>36</v>
      </c>
      <c r="B37">
        <f>xp!F37*0.08+40</f>
        <v>8179.6</v>
      </c>
      <c r="C37">
        <f>xp!F37*$L$2+$L$1</f>
        <v>7069.8</v>
      </c>
      <c r="D37" s="2">
        <f>B37/xp!E38</f>
        <v>1.1053513513513513</v>
      </c>
      <c r="E37" s="2">
        <f>C37/xp!E38</f>
        <v>0.95537837837837836</v>
      </c>
      <c r="F37" s="2">
        <f>C$101/xp!E38</f>
        <v>5.6948378378378379</v>
      </c>
    </row>
    <row r="38" spans="1:6" x14ac:dyDescent="0.15">
      <c r="A38">
        <v>37</v>
      </c>
      <c r="B38">
        <f>xp!F38*0.08+40</f>
        <v>8771.6</v>
      </c>
      <c r="C38">
        <f>xp!F38*$L$2+$L$1</f>
        <v>7365.8</v>
      </c>
      <c r="D38" s="2">
        <f>B38/xp!E39</f>
        <v>1.154157894736842</v>
      </c>
      <c r="E38" s="2">
        <f>C38/xp!E39</f>
        <v>0.96918421052631576</v>
      </c>
      <c r="F38" s="2">
        <f>C$101/xp!E39</f>
        <v>5.5449736842105271</v>
      </c>
    </row>
    <row r="39" spans="1:6" x14ac:dyDescent="0.15">
      <c r="A39">
        <v>38</v>
      </c>
      <c r="B39">
        <f>xp!F39*0.08+40</f>
        <v>9379.6</v>
      </c>
      <c r="C39">
        <f>xp!F39*$L$2+$L$1</f>
        <v>7669.8</v>
      </c>
      <c r="D39" s="2">
        <f>B39/xp!E40</f>
        <v>1.2025128205128206</v>
      </c>
      <c r="E39" s="2">
        <f>C39/xp!E40</f>
        <v>0.98330769230769233</v>
      </c>
      <c r="F39" s="2">
        <f>C$101/xp!E40</f>
        <v>5.4027948717948719</v>
      </c>
    </row>
    <row r="40" spans="1:6" x14ac:dyDescent="0.15">
      <c r="A40">
        <v>39</v>
      </c>
      <c r="B40">
        <f>xp!F40*0.08+40</f>
        <v>10003.6</v>
      </c>
      <c r="C40">
        <f>xp!F40*$L$2+$L$1</f>
        <v>7981.8</v>
      </c>
      <c r="D40" s="2">
        <f>B40/xp!E41</f>
        <v>1.2504500000000001</v>
      </c>
      <c r="E40" s="2">
        <f>C40/xp!E41</f>
        <v>0.99772499999999997</v>
      </c>
      <c r="F40" s="2">
        <f>C$101/xp!E41</f>
        <v>5.2677250000000004</v>
      </c>
    </row>
    <row r="41" spans="1:6" x14ac:dyDescent="0.15">
      <c r="A41">
        <v>40</v>
      </c>
      <c r="B41">
        <f>xp!F41*0.08+40</f>
        <v>10643.6</v>
      </c>
      <c r="C41">
        <f>xp!F41*$L$2+$L$1</f>
        <v>8301.7999999999993</v>
      </c>
      <c r="D41" s="2">
        <f>B41/xp!E42</f>
        <v>1.298</v>
      </c>
      <c r="E41" s="2">
        <f>C41/xp!E42</f>
        <v>1.0124146341463414</v>
      </c>
      <c r="F41" s="2">
        <f>C$101/xp!E42</f>
        <v>5.1392439024390244</v>
      </c>
    </row>
    <row r="42" spans="1:6" x14ac:dyDescent="0.15">
      <c r="A42">
        <v>41</v>
      </c>
      <c r="B42">
        <f>xp!F42*0.08+40</f>
        <v>11299.6</v>
      </c>
      <c r="C42">
        <f>xp!F42*$L$2+$L$1</f>
        <v>8629.7999999999993</v>
      </c>
      <c r="D42" s="2">
        <f>B42/xp!E43</f>
        <v>1.3451904761904763</v>
      </c>
      <c r="E42" s="2">
        <f>C42/xp!E43</f>
        <v>1.0273571428571429</v>
      </c>
      <c r="F42" s="2">
        <f>C$101/xp!E43</f>
        <v>5.0168809523809523</v>
      </c>
    </row>
    <row r="43" spans="1:6" x14ac:dyDescent="0.15">
      <c r="A43">
        <v>42</v>
      </c>
      <c r="B43">
        <f>xp!F43*0.08+40</f>
        <v>11971.6</v>
      </c>
      <c r="C43">
        <f>xp!F43*$L$2+$L$1</f>
        <v>8965.7999999999993</v>
      </c>
      <c r="D43" s="2">
        <f>B43/xp!E44</f>
        <v>1.392046511627907</v>
      </c>
      <c r="E43" s="2">
        <f>C43/xp!E44</f>
        <v>1.0425348837209301</v>
      </c>
      <c r="F43" s="2">
        <f>C$101/xp!E44</f>
        <v>4.9002093023255817</v>
      </c>
    </row>
    <row r="44" spans="1:6" x14ac:dyDescent="0.15">
      <c r="A44">
        <v>43</v>
      </c>
      <c r="B44">
        <f>xp!F44*0.08+40</f>
        <v>12659.6</v>
      </c>
      <c r="C44">
        <f>xp!F44*$L$2+$L$1</f>
        <v>9309.7999999999993</v>
      </c>
      <c r="D44" s="2">
        <f>B44/xp!E45</f>
        <v>1.438590909090909</v>
      </c>
      <c r="E44" s="2">
        <f>C44/xp!E45</f>
        <v>1.057931818181818</v>
      </c>
      <c r="F44" s="2">
        <f>C$101/xp!E45</f>
        <v>4.7888409090909096</v>
      </c>
    </row>
    <row r="45" spans="1:6" x14ac:dyDescent="0.15">
      <c r="A45">
        <v>44</v>
      </c>
      <c r="B45">
        <f>xp!F45*0.08+40</f>
        <v>13363.6</v>
      </c>
      <c r="C45">
        <f>xp!F45*$L$2+$L$1</f>
        <v>9661.7999999999993</v>
      </c>
      <c r="D45" s="2">
        <f>B45/xp!E46</f>
        <v>1.4848444444444444</v>
      </c>
      <c r="E45" s="2">
        <f>C45/xp!E46</f>
        <v>1.0735333333333332</v>
      </c>
      <c r="F45" s="2">
        <f>C$101/xp!E46</f>
        <v>4.6824222222222227</v>
      </c>
    </row>
    <row r="46" spans="1:6" x14ac:dyDescent="0.15">
      <c r="A46">
        <v>45</v>
      </c>
      <c r="B46">
        <f>xp!F46*0.08+40</f>
        <v>14083.6</v>
      </c>
      <c r="C46">
        <f>xp!F46*$L$2+$L$1</f>
        <v>10021.799999999999</v>
      </c>
      <c r="D46" s="2">
        <f>B46/xp!E47</f>
        <v>1.5308260869565218</v>
      </c>
      <c r="E46" s="2">
        <f>C46/xp!E47</f>
        <v>1.0893260869565216</v>
      </c>
      <c r="F46" s="2">
        <f>C$101/xp!E47</f>
        <v>4.5806304347826092</v>
      </c>
    </row>
    <row r="47" spans="1:6" x14ac:dyDescent="0.15">
      <c r="A47">
        <v>46</v>
      </c>
      <c r="B47">
        <f>xp!F47*0.08+40</f>
        <v>14819.6</v>
      </c>
      <c r="C47">
        <f>xp!F47*$L$2+$L$1</f>
        <v>10389.799999999999</v>
      </c>
      <c r="D47" s="2">
        <f>B47/xp!E48</f>
        <v>1.5765531914893618</v>
      </c>
      <c r="E47" s="2">
        <f>C47/xp!E48</f>
        <v>1.1052978723404254</v>
      </c>
      <c r="F47" s="2">
        <f>C$101/xp!E48</f>
        <v>4.4831702127659581</v>
      </c>
    </row>
    <row r="48" spans="1:6" x14ac:dyDescent="0.15">
      <c r="A48">
        <v>47</v>
      </c>
      <c r="B48">
        <f>xp!F48*0.08+40</f>
        <v>15571.6</v>
      </c>
      <c r="C48">
        <f>xp!F48*$L$2+$L$1</f>
        <v>10765.8</v>
      </c>
      <c r="D48" s="2">
        <f>B48/xp!E49</f>
        <v>1.6220416666666666</v>
      </c>
      <c r="E48" s="2">
        <f>C48/xp!E49</f>
        <v>1.1214374999999999</v>
      </c>
      <c r="F48" s="2">
        <f>C$101/xp!E49</f>
        <v>4.3897708333333334</v>
      </c>
    </row>
    <row r="49" spans="1:6" x14ac:dyDescent="0.15">
      <c r="A49">
        <v>48</v>
      </c>
      <c r="B49">
        <f>xp!F49*0.08+40</f>
        <v>16339.6</v>
      </c>
      <c r="C49">
        <f>xp!F49*$L$2+$L$1</f>
        <v>11149.8</v>
      </c>
      <c r="D49" s="2">
        <f>B49/xp!E50</f>
        <v>1.6673061224489796</v>
      </c>
      <c r="E49" s="2">
        <f>C49/xp!E50</f>
        <v>1.137734693877551</v>
      </c>
      <c r="F49" s="2">
        <f>C$101/xp!E50</f>
        <v>4.3001836734693883</v>
      </c>
    </row>
    <row r="50" spans="1:6" x14ac:dyDescent="0.15">
      <c r="A50">
        <v>49</v>
      </c>
      <c r="B50">
        <f>xp!F50*0.08+40</f>
        <v>17123.599999999999</v>
      </c>
      <c r="C50">
        <f>xp!F50*$L$2+$L$1</f>
        <v>11541.8</v>
      </c>
      <c r="D50" s="2">
        <f>B50/xp!E51</f>
        <v>1.7123599999999999</v>
      </c>
      <c r="E50" s="2">
        <f>C50/xp!E51</f>
        <v>1.15418</v>
      </c>
      <c r="F50" s="2">
        <f>C$101/xp!E51</f>
        <v>4.2141800000000007</v>
      </c>
    </row>
    <row r="51" spans="1:6" x14ac:dyDescent="0.15">
      <c r="A51">
        <v>50</v>
      </c>
      <c r="B51">
        <f>xp!F51*0.08+40</f>
        <v>17923.600000000002</v>
      </c>
      <c r="C51">
        <f>xp!F51*$L$2+$L$1</f>
        <v>11941.800000000001</v>
      </c>
      <c r="D51" s="2">
        <f>B51/xp!E52</f>
        <v>1.7572156862745101</v>
      </c>
      <c r="E51" s="2">
        <f>C51/xp!E52</f>
        <v>1.1707647058823532</v>
      </c>
      <c r="F51" s="2">
        <f>C$101/xp!E52</f>
        <v>4.131549019607843</v>
      </c>
    </row>
    <row r="52" spans="1:6" x14ac:dyDescent="0.15">
      <c r="A52">
        <v>51</v>
      </c>
      <c r="B52">
        <f>xp!F52*0.08+40</f>
        <v>18739.600000000002</v>
      </c>
      <c r="C52">
        <f>xp!F52*$L$2+$L$1</f>
        <v>12349.800000000001</v>
      </c>
      <c r="D52" s="2">
        <f>B52/xp!E53</f>
        <v>1.8018846153846155</v>
      </c>
      <c r="E52" s="2">
        <f>C52/xp!E53</f>
        <v>1.1874807692307694</v>
      </c>
      <c r="F52" s="2">
        <f>C$101/xp!E53</f>
        <v>4.0520961538461542</v>
      </c>
    </row>
    <row r="53" spans="1:6" x14ac:dyDescent="0.15">
      <c r="A53">
        <v>52</v>
      </c>
      <c r="B53">
        <f>xp!F53*0.08+40</f>
        <v>19571.600000000002</v>
      </c>
      <c r="C53">
        <f>xp!F53*$L$2+$L$1</f>
        <v>12765.800000000001</v>
      </c>
      <c r="D53" s="2">
        <f>B53/xp!E54</f>
        <v>1.8463773584905663</v>
      </c>
      <c r="E53" s="2">
        <f>C53/xp!E54</f>
        <v>1.2043207547169812</v>
      </c>
      <c r="F53" s="2">
        <f>C$101/xp!E54</f>
        <v>3.9756415094339626</v>
      </c>
    </row>
    <row r="54" spans="1:6" x14ac:dyDescent="0.15">
      <c r="A54">
        <v>53</v>
      </c>
      <c r="B54">
        <f>xp!F54*0.08+40</f>
        <v>20419.600000000002</v>
      </c>
      <c r="C54">
        <f>xp!F54*$L$2+$L$1</f>
        <v>13189.800000000001</v>
      </c>
      <c r="D54" s="2">
        <f>B54/xp!E55</f>
        <v>1.890703703703704</v>
      </c>
      <c r="E54" s="2">
        <f>C54/xp!E55</f>
        <v>1.2212777777777779</v>
      </c>
      <c r="F54" s="2">
        <f>C$101/xp!E55</f>
        <v>3.9020185185185188</v>
      </c>
    </row>
    <row r="55" spans="1:6" x14ac:dyDescent="0.15">
      <c r="A55">
        <v>54</v>
      </c>
      <c r="B55">
        <f>xp!F55*0.08+40</f>
        <v>21283.600000000002</v>
      </c>
      <c r="C55">
        <f>xp!F55*$L$2+$L$1</f>
        <v>13621.800000000001</v>
      </c>
      <c r="D55" s="2">
        <f>B55/xp!E56</f>
        <v>1.9348727272727275</v>
      </c>
      <c r="E55" s="2">
        <f>C55/xp!E56</f>
        <v>1.2383454545454546</v>
      </c>
      <c r="F55" s="2">
        <f>C$101/xp!E56</f>
        <v>3.8310727272727276</v>
      </c>
    </row>
    <row r="56" spans="1:6" x14ac:dyDescent="0.15">
      <c r="A56">
        <v>55</v>
      </c>
      <c r="B56">
        <f>xp!F56*0.08+40</f>
        <v>22163.600000000002</v>
      </c>
      <c r="C56">
        <f>xp!F56*$L$2+$L$1</f>
        <v>14061.800000000001</v>
      </c>
      <c r="D56" s="2">
        <f>B56/xp!E57</f>
        <v>1.9788928571428572</v>
      </c>
      <c r="E56" s="2">
        <f>C56/xp!E57</f>
        <v>1.2555178571428571</v>
      </c>
      <c r="F56" s="2">
        <f>C$101/xp!E57</f>
        <v>3.7626607142857145</v>
      </c>
    </row>
    <row r="57" spans="1:6" x14ac:dyDescent="0.15">
      <c r="A57">
        <v>56</v>
      </c>
      <c r="B57">
        <f>xp!F57*0.08+40</f>
        <v>23059.600000000002</v>
      </c>
      <c r="C57">
        <f>xp!F57*$L$2+$L$1</f>
        <v>14509.800000000001</v>
      </c>
      <c r="D57" s="2">
        <f>B57/xp!E58</f>
        <v>2.0227719298245614</v>
      </c>
      <c r="E57" s="2">
        <f>C57/xp!E58</f>
        <v>1.2727894736842107</v>
      </c>
      <c r="F57" s="2">
        <f>C$101/xp!E58</f>
        <v>3.6966491228070177</v>
      </c>
    </row>
    <row r="58" spans="1:6" x14ac:dyDescent="0.15">
      <c r="A58">
        <v>57</v>
      </c>
      <c r="B58">
        <f>xp!F58*0.08+40</f>
        <v>23971.600000000002</v>
      </c>
      <c r="C58">
        <f>xp!F58*$L$2+$L$1</f>
        <v>14965.800000000001</v>
      </c>
      <c r="D58" s="2">
        <f>B58/xp!E59</f>
        <v>2.0665172413793105</v>
      </c>
      <c r="E58" s="2">
        <f>C58/xp!E59</f>
        <v>1.2901551724137932</v>
      </c>
      <c r="F58" s="2">
        <f>C$101/xp!E59</f>
        <v>3.6329137931034485</v>
      </c>
    </row>
    <row r="59" spans="1:6" x14ac:dyDescent="0.15">
      <c r="A59">
        <v>58</v>
      </c>
      <c r="B59">
        <f>xp!F59*0.08+40</f>
        <v>24899.600000000002</v>
      </c>
      <c r="C59">
        <f>xp!F59*$L$2+$L$1</f>
        <v>15429.800000000001</v>
      </c>
      <c r="D59" s="2">
        <f>B59/xp!E60</f>
        <v>2.1101355932203392</v>
      </c>
      <c r="E59" s="2">
        <f>C59/xp!E60</f>
        <v>1.3076101694915254</v>
      </c>
      <c r="F59" s="2">
        <f>C$101/xp!E60</f>
        <v>3.5713389830508477</v>
      </c>
    </row>
    <row r="60" spans="1:6" x14ac:dyDescent="0.15">
      <c r="A60">
        <v>59</v>
      </c>
      <c r="B60">
        <f>xp!F60*0.08+40</f>
        <v>25843.600000000002</v>
      </c>
      <c r="C60">
        <f>xp!F60*$L$2+$L$1</f>
        <v>15901.800000000001</v>
      </c>
      <c r="D60" s="2">
        <f>B60/xp!E61</f>
        <v>2.1536333333333335</v>
      </c>
      <c r="E60" s="2">
        <f>C60/xp!E61</f>
        <v>1.3251500000000001</v>
      </c>
      <c r="F60" s="2">
        <f>C$101/xp!E61</f>
        <v>3.5118166666666668</v>
      </c>
    </row>
    <row r="61" spans="1:6" x14ac:dyDescent="0.15">
      <c r="A61">
        <v>60</v>
      </c>
      <c r="B61">
        <f>xp!F61*0.08+40</f>
        <v>26803.600000000002</v>
      </c>
      <c r="C61">
        <f>xp!F61*$L$2+$L$1</f>
        <v>16381.800000000001</v>
      </c>
      <c r="D61" s="2">
        <f>B61/xp!E62</f>
        <v>2.197016393442623</v>
      </c>
      <c r="E61" s="2">
        <f>C61/xp!E62</f>
        <v>1.3427704918032788</v>
      </c>
      <c r="F61" s="2">
        <f>C$101/xp!E62</f>
        <v>3.4542459016393443</v>
      </c>
    </row>
    <row r="62" spans="1:6" x14ac:dyDescent="0.15">
      <c r="A62">
        <v>61</v>
      </c>
      <c r="B62">
        <f>xp!F62*0.08+40</f>
        <v>27779.600000000002</v>
      </c>
      <c r="C62">
        <f>xp!F62*$L$2+$L$1</f>
        <v>16869.800000000003</v>
      </c>
      <c r="D62" s="2">
        <f>B62/xp!E63</f>
        <v>2.2402903225806452</v>
      </c>
      <c r="E62" s="2">
        <f>C62/xp!E63</f>
        <v>1.360467741935484</v>
      </c>
      <c r="F62" s="2">
        <f>C$101/xp!E63</f>
        <v>3.3985322580645163</v>
      </c>
    </row>
    <row r="63" spans="1:6" x14ac:dyDescent="0.15">
      <c r="A63">
        <v>62</v>
      </c>
      <c r="B63">
        <f>xp!F63*0.08+40</f>
        <v>28771.600000000002</v>
      </c>
      <c r="C63">
        <f>xp!F63*$L$2+$L$1</f>
        <v>17365.800000000003</v>
      </c>
      <c r="D63" s="2">
        <f>B63/xp!E64</f>
        <v>2.2834603174603174</v>
      </c>
      <c r="E63" s="2">
        <f>C63/xp!E64</f>
        <v>1.3782380952380955</v>
      </c>
      <c r="F63" s="2">
        <f>C$101/xp!E64</f>
        <v>3.344587301587302</v>
      </c>
    </row>
    <row r="64" spans="1:6" x14ac:dyDescent="0.15">
      <c r="A64">
        <v>63</v>
      </c>
      <c r="B64">
        <f>xp!F64*0.08+40</f>
        <v>29779.600000000002</v>
      </c>
      <c r="C64">
        <f>xp!F64*$L$2+$L$1</f>
        <v>17869.800000000003</v>
      </c>
      <c r="D64" s="2">
        <f>B64/xp!E65</f>
        <v>2.3265312500000004</v>
      </c>
      <c r="E64" s="2">
        <f>C64/xp!E65</f>
        <v>1.3960781250000003</v>
      </c>
      <c r="F64" s="2">
        <f>C$101/xp!E65</f>
        <v>3.292328125</v>
      </c>
    </row>
    <row r="65" spans="1:6" x14ac:dyDescent="0.15">
      <c r="A65">
        <v>64</v>
      </c>
      <c r="B65">
        <f>xp!F65*0.08+40</f>
        <v>30803.600000000002</v>
      </c>
      <c r="C65">
        <f>xp!F65*$L$2+$L$1</f>
        <v>18381.800000000003</v>
      </c>
      <c r="D65" s="2">
        <f>B65/xp!E66</f>
        <v>2.3695076923076925</v>
      </c>
      <c r="E65" s="2">
        <f>C65/xp!E66</f>
        <v>1.4139846153846156</v>
      </c>
      <c r="F65" s="2">
        <f>C$101/xp!E66</f>
        <v>3.2416769230769233</v>
      </c>
    </row>
    <row r="66" spans="1:6" x14ac:dyDescent="0.15">
      <c r="A66">
        <v>65</v>
      </c>
      <c r="B66">
        <f>xp!F66*0.08+40</f>
        <v>31843.600000000002</v>
      </c>
      <c r="C66">
        <f>xp!F66*$L$2+$L$1</f>
        <v>18901.800000000003</v>
      </c>
      <c r="D66" s="2">
        <f>B66/xp!E67</f>
        <v>2.4123939393939398</v>
      </c>
      <c r="E66" s="2">
        <f>C66/xp!E67</f>
        <v>1.4319545454545457</v>
      </c>
      <c r="F66" s="2">
        <f>C$101/xp!E67</f>
        <v>3.1925606060606064</v>
      </c>
    </row>
    <row r="67" spans="1:6" x14ac:dyDescent="0.15">
      <c r="A67">
        <v>66</v>
      </c>
      <c r="B67">
        <f>xp!F67*0.08+40</f>
        <v>32899.599999999999</v>
      </c>
      <c r="C67">
        <f>xp!F67*$L$2+$L$1</f>
        <v>19429.8</v>
      </c>
      <c r="D67" s="2">
        <f>B67/xp!E68</f>
        <v>2.455194029850746</v>
      </c>
      <c r="E67" s="2">
        <f>C67/xp!E68</f>
        <v>1.4499850746268657</v>
      </c>
      <c r="F67" s="2">
        <f>C$101/xp!E68</f>
        <v>3.1449104477611942</v>
      </c>
    </row>
    <row r="68" spans="1:6" x14ac:dyDescent="0.15">
      <c r="A68">
        <v>67</v>
      </c>
      <c r="B68">
        <f>xp!F68*0.08+40</f>
        <v>33971.599999999999</v>
      </c>
      <c r="C68">
        <f>xp!F68*$L$2+$L$1</f>
        <v>19965.8</v>
      </c>
      <c r="D68" s="2">
        <f>B68/xp!E69</f>
        <v>2.4979117647058824</v>
      </c>
      <c r="E68" s="2">
        <f>C68/xp!E69</f>
        <v>1.4680735294117646</v>
      </c>
      <c r="F68" s="2">
        <f>C$101/xp!E69</f>
        <v>3.0986617647058825</v>
      </c>
    </row>
    <row r="69" spans="1:6" x14ac:dyDescent="0.15">
      <c r="A69">
        <v>68</v>
      </c>
      <c r="B69">
        <f>xp!F69*0.08+40</f>
        <v>35059.599999999999</v>
      </c>
      <c r="C69">
        <f>xp!F69*$L$2+$L$1</f>
        <v>20509.8</v>
      </c>
      <c r="D69" s="2">
        <f>B69/xp!E70</f>
        <v>2.5405507246376811</v>
      </c>
      <c r="E69" s="2">
        <f>C69/xp!E70</f>
        <v>1.4862173913043477</v>
      </c>
      <c r="F69" s="2">
        <f>C$101/xp!E70</f>
        <v>3.0537536231884062</v>
      </c>
    </row>
    <row r="70" spans="1:6" x14ac:dyDescent="0.15">
      <c r="A70">
        <v>69</v>
      </c>
      <c r="B70">
        <f>xp!F70*0.08+40</f>
        <v>36163.599999999999</v>
      </c>
      <c r="C70">
        <f>xp!F70*$L$2+$L$1</f>
        <v>21061.8</v>
      </c>
      <c r="D70" s="2">
        <f>B70/xp!E71</f>
        <v>2.5831142857142857</v>
      </c>
      <c r="E70" s="2">
        <f>C70/xp!E71</f>
        <v>1.5044142857142857</v>
      </c>
      <c r="F70" s="2">
        <f>C$101/xp!E71</f>
        <v>3.0101285714285715</v>
      </c>
    </row>
    <row r="71" spans="1:6" x14ac:dyDescent="0.15">
      <c r="A71">
        <v>70</v>
      </c>
      <c r="B71">
        <f>xp!F71*0.08+40</f>
        <v>37283.599999999999</v>
      </c>
      <c r="C71">
        <f>xp!F71*$L$2+$L$1</f>
        <v>21621.8</v>
      </c>
      <c r="D71" s="2">
        <f>B71/xp!E72</f>
        <v>2.6256056338028166</v>
      </c>
      <c r="E71" s="2">
        <f>C71/xp!E72</f>
        <v>1.5226619718309859</v>
      </c>
      <c r="F71" s="2">
        <f>C$101/xp!E72</f>
        <v>2.9677323943661973</v>
      </c>
    </row>
    <row r="72" spans="1:6" x14ac:dyDescent="0.15">
      <c r="A72">
        <v>71</v>
      </c>
      <c r="B72">
        <f>xp!F72*0.08+40</f>
        <v>38419.599999999999</v>
      </c>
      <c r="C72">
        <f>xp!F72*$L$2+$L$1</f>
        <v>22189.8</v>
      </c>
      <c r="D72" s="2">
        <f>B72/xp!E73</f>
        <v>2.6680277777777777</v>
      </c>
      <c r="E72" s="2">
        <f>C72/xp!E73</f>
        <v>1.5409583333333332</v>
      </c>
      <c r="F72" s="2">
        <f>C$101/xp!E73</f>
        <v>2.9265138888888891</v>
      </c>
    </row>
    <row r="73" spans="1:6" x14ac:dyDescent="0.15">
      <c r="A73">
        <v>72</v>
      </c>
      <c r="B73">
        <f>xp!F73*0.08+40</f>
        <v>39571.599999999999</v>
      </c>
      <c r="C73">
        <f>xp!F73*$L$2+$L$1</f>
        <v>22765.8</v>
      </c>
      <c r="D73" s="2">
        <f>B73/xp!E74</f>
        <v>2.7103835616438356</v>
      </c>
      <c r="E73" s="2">
        <f>C73/xp!E74</f>
        <v>1.5593013698630136</v>
      </c>
      <c r="F73" s="2">
        <f>C$101/xp!E74</f>
        <v>2.8864246575342469</v>
      </c>
    </row>
    <row r="74" spans="1:6" x14ac:dyDescent="0.15">
      <c r="A74">
        <v>73</v>
      </c>
      <c r="B74">
        <f>xp!F74*0.08+40</f>
        <v>40739.599999999999</v>
      </c>
      <c r="C74">
        <f>xp!F74*$L$2+$L$1</f>
        <v>23349.8</v>
      </c>
      <c r="D74" s="2">
        <f>B74/xp!E75</f>
        <v>2.7526756756756754</v>
      </c>
      <c r="E74" s="2">
        <f>C74/xp!E75</f>
        <v>1.5776891891891891</v>
      </c>
      <c r="F74" s="2">
        <f>C$101/xp!E75</f>
        <v>2.847418918918919</v>
      </c>
    </row>
    <row r="75" spans="1:6" x14ac:dyDescent="0.15">
      <c r="A75">
        <v>74</v>
      </c>
      <c r="B75">
        <f>xp!F75*0.08+40</f>
        <v>41923.599999999999</v>
      </c>
      <c r="C75">
        <f>xp!F75*$L$2+$L$1</f>
        <v>23941.8</v>
      </c>
      <c r="D75" s="2">
        <f>B75/xp!E76</f>
        <v>2.7949066666666664</v>
      </c>
      <c r="E75" s="2">
        <f>C75/xp!E76</f>
        <v>1.59612</v>
      </c>
      <c r="F75" s="2">
        <f>C$101/xp!E76</f>
        <v>2.8094533333333334</v>
      </c>
    </row>
    <row r="76" spans="1:6" x14ac:dyDescent="0.15">
      <c r="A76">
        <v>75</v>
      </c>
      <c r="B76">
        <f>xp!F76*0.08+40</f>
        <v>43123.6</v>
      </c>
      <c r="C76">
        <f>xp!F76*$L$2+$L$1</f>
        <v>24541.8</v>
      </c>
      <c r="D76" s="2">
        <f>B76/xp!E77</f>
        <v>2.837078947368421</v>
      </c>
      <c r="E76" s="2">
        <f>C76/xp!E77</f>
        <v>1.6145921052631578</v>
      </c>
      <c r="F76" s="2">
        <f>C$101/xp!E77</f>
        <v>2.7724868421052635</v>
      </c>
    </row>
    <row r="77" spans="1:6" x14ac:dyDescent="0.15">
      <c r="A77">
        <v>76</v>
      </c>
      <c r="B77">
        <f>xp!F77*0.08+40</f>
        <v>44339.6</v>
      </c>
      <c r="C77">
        <f>xp!F77*$L$2+$L$1</f>
        <v>25149.8</v>
      </c>
      <c r="D77" s="2">
        <f>B77/xp!E78</f>
        <v>2.8791948051948051</v>
      </c>
      <c r="E77" s="2">
        <f>C77/xp!E78</f>
        <v>1.6331038961038959</v>
      </c>
      <c r="F77" s="2">
        <f>C$101/xp!E78</f>
        <v>2.7364805194805197</v>
      </c>
    </row>
    <row r="78" spans="1:6" x14ac:dyDescent="0.15">
      <c r="A78">
        <v>77</v>
      </c>
      <c r="B78">
        <f>xp!F78*0.08+40</f>
        <v>45571.6</v>
      </c>
      <c r="C78">
        <f>xp!F78*$L$2+$L$1</f>
        <v>25765.8</v>
      </c>
      <c r="D78" s="2">
        <f>B78/xp!E79</f>
        <v>2.9212564102564103</v>
      </c>
      <c r="E78" s="2">
        <f>C78/xp!E79</f>
        <v>1.6516538461538461</v>
      </c>
      <c r="F78" s="2">
        <f>C$101/xp!E79</f>
        <v>2.701397435897436</v>
      </c>
    </row>
    <row r="79" spans="1:6" x14ac:dyDescent="0.15">
      <c r="A79">
        <v>78</v>
      </c>
      <c r="B79">
        <f>xp!F79*0.08+40</f>
        <v>46819.6</v>
      </c>
      <c r="C79">
        <f>xp!F79*$L$2+$L$1</f>
        <v>26389.8</v>
      </c>
      <c r="D79" s="2">
        <f>B79/xp!E80</f>
        <v>2.9632658227848099</v>
      </c>
      <c r="E79" s="2">
        <f>C79/xp!E80</f>
        <v>1.6702405063291139</v>
      </c>
      <c r="F79" s="2">
        <f>C$101/xp!E80</f>
        <v>2.6672025316455699</v>
      </c>
    </row>
    <row r="80" spans="1:6" x14ac:dyDescent="0.15">
      <c r="A80">
        <v>79</v>
      </c>
      <c r="B80">
        <f>xp!F80*0.08+40</f>
        <v>48083.6</v>
      </c>
      <c r="C80">
        <f>xp!F80*$L$2+$L$1</f>
        <v>27021.8</v>
      </c>
      <c r="D80" s="2">
        <f>B80/xp!E81</f>
        <v>3.0052249999999998</v>
      </c>
      <c r="E80" s="2">
        <f>C80/xp!E81</f>
        <v>1.6888624999999999</v>
      </c>
      <c r="F80" s="2">
        <f>C$101/xp!E81</f>
        <v>2.6338625000000002</v>
      </c>
    </row>
    <row r="81" spans="1:6" x14ac:dyDescent="0.15">
      <c r="A81">
        <v>80</v>
      </c>
      <c r="B81">
        <f>xp!F81*0.08+40</f>
        <v>49363.6</v>
      </c>
      <c r="C81">
        <f>xp!F81*$L$2+$L$1</f>
        <v>27661.8</v>
      </c>
      <c r="D81" s="2">
        <f>B81/xp!E82</f>
        <v>3.0471358024691355</v>
      </c>
      <c r="E81" s="2">
        <f>C81/xp!E82</f>
        <v>1.7075185185185184</v>
      </c>
      <c r="F81" s="2">
        <f>C$101/xp!E82</f>
        <v>2.6013456790123457</v>
      </c>
    </row>
    <row r="82" spans="1:6" x14ac:dyDescent="0.15">
      <c r="A82">
        <v>81</v>
      </c>
      <c r="B82">
        <f>xp!F82*0.08+40</f>
        <v>50659.6</v>
      </c>
      <c r="C82">
        <f>xp!F82*$L$2+$L$1</f>
        <v>28309.8</v>
      </c>
      <c r="D82" s="2">
        <f>B82/xp!E83</f>
        <v>3.089</v>
      </c>
      <c r="E82" s="2">
        <f>C82/xp!E83</f>
        <v>1.7262073170731707</v>
      </c>
      <c r="F82" s="2">
        <f>C$101/xp!E83</f>
        <v>2.5696219512195122</v>
      </c>
    </row>
    <row r="83" spans="1:6" x14ac:dyDescent="0.15">
      <c r="A83">
        <v>82</v>
      </c>
      <c r="B83">
        <f>xp!F83*0.08+40</f>
        <v>51971.6</v>
      </c>
      <c r="C83">
        <f>xp!F83*$L$2+$L$1</f>
        <v>28965.8</v>
      </c>
      <c r="D83" s="2">
        <f>B83/xp!E84</f>
        <v>3.1308192771084338</v>
      </c>
      <c r="E83" s="2">
        <f>C83/xp!E84</f>
        <v>1.7449277108433734</v>
      </c>
      <c r="F83" s="2">
        <f>C$101/xp!E84</f>
        <v>2.5386626506024097</v>
      </c>
    </row>
    <row r="84" spans="1:6" x14ac:dyDescent="0.15">
      <c r="A84">
        <v>83</v>
      </c>
      <c r="B84">
        <f>xp!F84*0.08+40</f>
        <v>53299.6</v>
      </c>
      <c r="C84">
        <f>xp!F84*$L$2+$L$1</f>
        <v>29629.8</v>
      </c>
      <c r="D84" s="2">
        <f>B84/xp!E85</f>
        <v>3.172595238095238</v>
      </c>
      <c r="E84" s="2">
        <f>C84/xp!E85</f>
        <v>1.7636785714285714</v>
      </c>
      <c r="F84" s="2">
        <f>C$101/xp!E85</f>
        <v>2.5084404761904762</v>
      </c>
    </row>
    <row r="85" spans="1:6" x14ac:dyDescent="0.15">
      <c r="A85">
        <v>84</v>
      </c>
      <c r="B85">
        <f>xp!F85*0.08+40</f>
        <v>54643.6</v>
      </c>
      <c r="C85">
        <f>xp!F85*$L$2+$L$1</f>
        <v>30301.8</v>
      </c>
      <c r="D85" s="2">
        <f>B85/xp!E86</f>
        <v>3.2143294117647057</v>
      </c>
      <c r="E85" s="2">
        <f>C85/xp!E86</f>
        <v>1.7824588235294117</v>
      </c>
      <c r="F85" s="2">
        <f>C$101/xp!E86</f>
        <v>2.4789294117647063</v>
      </c>
    </row>
    <row r="86" spans="1:6" x14ac:dyDescent="0.15">
      <c r="A86">
        <v>85</v>
      </c>
      <c r="B86">
        <f>xp!F86*0.08+40</f>
        <v>56003.6</v>
      </c>
      <c r="C86">
        <f>xp!F86*$L$2+$L$1</f>
        <v>30981.8</v>
      </c>
      <c r="D86" s="2">
        <f>B86/xp!E87</f>
        <v>3.2560232558139535</v>
      </c>
      <c r="E86" s="2">
        <f>C86/xp!E87</f>
        <v>1.8012674418604651</v>
      </c>
      <c r="F86" s="2">
        <f>C$101/xp!E87</f>
        <v>2.4501046511627909</v>
      </c>
    </row>
    <row r="87" spans="1:6" x14ac:dyDescent="0.15">
      <c r="A87">
        <v>86</v>
      </c>
      <c r="B87">
        <f>xp!F87*0.08+40</f>
        <v>57379.6</v>
      </c>
      <c r="C87">
        <f>xp!F87*$L$2+$L$1</f>
        <v>31669.8</v>
      </c>
      <c r="D87" s="2">
        <f>B87/xp!E88</f>
        <v>3.2976781609195402</v>
      </c>
      <c r="E87" s="2">
        <f>C87/xp!E88</f>
        <v>1.820103448275862</v>
      </c>
      <c r="F87" s="2">
        <f>C$101/xp!E88</f>
        <v>2.4219425287356322</v>
      </c>
    </row>
    <row r="88" spans="1:6" x14ac:dyDescent="0.15">
      <c r="A88">
        <v>87</v>
      </c>
      <c r="B88">
        <f>xp!F88*0.08+40</f>
        <v>58771.6</v>
      </c>
      <c r="C88">
        <f>xp!F88*$L$2+$L$1</f>
        <v>32365.8</v>
      </c>
      <c r="D88" s="2">
        <f>B88/xp!E89</f>
        <v>3.3392954545454545</v>
      </c>
      <c r="E88" s="2">
        <f>C88/xp!E89</f>
        <v>1.838965909090909</v>
      </c>
      <c r="F88" s="2">
        <f>C$101/xp!E89</f>
        <v>2.3944204545454548</v>
      </c>
    </row>
    <row r="89" spans="1:6" x14ac:dyDescent="0.15">
      <c r="A89">
        <v>88</v>
      </c>
      <c r="B89">
        <f>xp!F89*0.08+40</f>
        <v>60179.6</v>
      </c>
      <c r="C89">
        <f>xp!F89*$L$2+$L$1</f>
        <v>33069.800000000003</v>
      </c>
      <c r="D89" s="2">
        <f>B89/xp!E90</f>
        <v>3.3808764044943818</v>
      </c>
      <c r="E89" s="2">
        <f>C89/xp!E90</f>
        <v>1.8578539325842698</v>
      </c>
      <c r="F89" s="2">
        <f>C$101/xp!E90</f>
        <v>2.3675168539325844</v>
      </c>
    </row>
    <row r="90" spans="1:6" x14ac:dyDescent="0.15">
      <c r="A90">
        <v>89</v>
      </c>
      <c r="B90">
        <f>xp!F90*0.08+40</f>
        <v>61603.6</v>
      </c>
      <c r="C90">
        <f>xp!F90*$L$2+$L$1</f>
        <v>33781.800000000003</v>
      </c>
      <c r="D90" s="2">
        <f>B90/xp!E91</f>
        <v>3.422422222222222</v>
      </c>
      <c r="E90" s="2">
        <f>C90/xp!E91</f>
        <v>1.8767666666666669</v>
      </c>
      <c r="F90" s="2">
        <f>C$101/xp!E91</f>
        <v>2.3412111111111114</v>
      </c>
    </row>
    <row r="91" spans="1:6" x14ac:dyDescent="0.15">
      <c r="A91">
        <v>90</v>
      </c>
      <c r="B91">
        <f>xp!F91*0.08+40</f>
        <v>63043.6</v>
      </c>
      <c r="C91">
        <f>xp!F91*$L$2+$L$1</f>
        <v>34501.800000000003</v>
      </c>
      <c r="D91" s="2">
        <f>B91/xp!E92</f>
        <v>3.4639340659340658</v>
      </c>
      <c r="E91" s="2">
        <f>C91/xp!E92</f>
        <v>1.895703296703297</v>
      </c>
      <c r="F91" s="2">
        <f>C$101/xp!E92</f>
        <v>2.3154835164835168</v>
      </c>
    </row>
    <row r="92" spans="1:6" x14ac:dyDescent="0.15">
      <c r="A92">
        <v>91</v>
      </c>
      <c r="B92">
        <f>xp!F92*0.08+40</f>
        <v>64499.6</v>
      </c>
      <c r="C92">
        <f>xp!F92*$L$2+$L$1</f>
        <v>35229.800000000003</v>
      </c>
      <c r="D92" s="2">
        <f>B92/xp!E93</f>
        <v>3.5054130434782609</v>
      </c>
      <c r="E92" s="2">
        <f>C92/xp!E93</f>
        <v>1.914663043478261</v>
      </c>
      <c r="F92" s="2">
        <f>C$101/xp!E93</f>
        <v>2.2903152173913046</v>
      </c>
    </row>
    <row r="93" spans="1:6" x14ac:dyDescent="0.15">
      <c r="A93">
        <v>92</v>
      </c>
      <c r="B93">
        <f>xp!F93*0.08+40</f>
        <v>65971.600000000006</v>
      </c>
      <c r="C93">
        <f>xp!F93*$L$2+$L$1</f>
        <v>35965.800000000003</v>
      </c>
      <c r="D93" s="2">
        <f>B93/xp!E94</f>
        <v>3.5468602150537638</v>
      </c>
      <c r="E93" s="2">
        <f>C93/xp!E94</f>
        <v>1.9336451612903227</v>
      </c>
      <c r="F93" s="2">
        <f>C$101/xp!E94</f>
        <v>2.2656881720430109</v>
      </c>
    </row>
    <row r="94" spans="1:6" x14ac:dyDescent="0.15">
      <c r="A94">
        <v>93</v>
      </c>
      <c r="B94">
        <f>xp!F94*0.08+40</f>
        <v>67459.600000000006</v>
      </c>
      <c r="C94">
        <f>xp!F94*$L$2+$L$1</f>
        <v>36709.800000000003</v>
      </c>
      <c r="D94" s="2">
        <f>B94/xp!E95</f>
        <v>3.5882765957446812</v>
      </c>
      <c r="E94" s="2">
        <f>C94/xp!E95</f>
        <v>1.9526489361702128</v>
      </c>
      <c r="F94" s="2">
        <f>C$101/xp!E95</f>
        <v>2.241585106382979</v>
      </c>
    </row>
    <row r="95" spans="1:6" x14ac:dyDescent="0.15">
      <c r="A95">
        <v>94</v>
      </c>
      <c r="B95">
        <f>xp!F95*0.08+40</f>
        <v>68963.600000000006</v>
      </c>
      <c r="C95">
        <f>xp!F95*$L$2+$L$1</f>
        <v>37461.800000000003</v>
      </c>
      <c r="D95" s="2">
        <f>B95/xp!E96</f>
        <v>3.6296631578947371</v>
      </c>
      <c r="E95" s="2">
        <f>C95/xp!E96</f>
        <v>1.9716736842105265</v>
      </c>
      <c r="F95" s="2">
        <f>C$101/xp!E96</f>
        <v>2.2179894736842107</v>
      </c>
    </row>
    <row r="96" spans="1:6" x14ac:dyDescent="0.15">
      <c r="A96">
        <v>95</v>
      </c>
      <c r="B96">
        <f>xp!F96*0.08+40</f>
        <v>70483.600000000006</v>
      </c>
      <c r="C96">
        <f>xp!F96*$L$2+$L$1</f>
        <v>38221.800000000003</v>
      </c>
      <c r="D96" s="2">
        <f>B96/xp!E97</f>
        <v>3.6710208333333338</v>
      </c>
      <c r="E96" s="2">
        <f>C96/xp!E97</f>
        <v>1.9907187500000001</v>
      </c>
      <c r="F96" s="2">
        <f>C$101/xp!E97</f>
        <v>2.1948854166666667</v>
      </c>
    </row>
    <row r="97" spans="1:6" x14ac:dyDescent="0.15">
      <c r="A97">
        <v>96</v>
      </c>
      <c r="B97">
        <f>xp!F97*0.08+40</f>
        <v>72019.600000000006</v>
      </c>
      <c r="C97">
        <f>xp!F97*$L$2+$L$1</f>
        <v>38989.800000000003</v>
      </c>
      <c r="D97" s="2">
        <f>B97/xp!E98</f>
        <v>3.712350515463918</v>
      </c>
      <c r="E97" s="2">
        <f>C97/xp!E98</f>
        <v>2.0097835051546391</v>
      </c>
      <c r="F97" s="2">
        <f>C$101/xp!E98</f>
        <v>2.172257731958763</v>
      </c>
    </row>
    <row r="98" spans="1:6" x14ac:dyDescent="0.15">
      <c r="A98">
        <v>97</v>
      </c>
      <c r="B98">
        <f>xp!F98*0.08+40</f>
        <v>73571.600000000006</v>
      </c>
      <c r="C98">
        <f>xp!F98*$L$2+$L$1</f>
        <v>39765.800000000003</v>
      </c>
      <c r="D98" s="2">
        <f>B98/xp!E99</f>
        <v>3.7536530612244903</v>
      </c>
      <c r="E98" s="2">
        <f>C98/xp!E99</f>
        <v>2.0288673469387755</v>
      </c>
      <c r="F98" s="2">
        <f>C$101/xp!E99</f>
        <v>2.1500918367346942</v>
      </c>
    </row>
    <row r="99" spans="1:6" x14ac:dyDescent="0.15">
      <c r="A99">
        <v>98</v>
      </c>
      <c r="B99">
        <f>xp!F99*0.08+40</f>
        <v>75139.600000000006</v>
      </c>
      <c r="C99">
        <f>xp!F99*$L$2+$L$1</f>
        <v>40549.800000000003</v>
      </c>
      <c r="D99" s="2">
        <f>B99/xp!E100</f>
        <v>3.794929292929293</v>
      </c>
      <c r="E99" s="2">
        <f>C99/xp!E100</f>
        <v>2.0479696969696972</v>
      </c>
      <c r="F99" s="2">
        <f>C$101/xp!E100</f>
        <v>2.1283737373737375</v>
      </c>
    </row>
    <row r="100" spans="1:6" x14ac:dyDescent="0.15">
      <c r="A100">
        <v>99</v>
      </c>
      <c r="B100">
        <f>xp!F100*0.08+40</f>
        <v>76723.600000000006</v>
      </c>
      <c r="C100">
        <f>xp!F100*$L$2+$L$1</f>
        <v>41341.800000000003</v>
      </c>
      <c r="D100" s="2">
        <f>B100/xp!E101</f>
        <v>3.8361800000000001</v>
      </c>
      <c r="E100" s="2">
        <f>C100/xp!E101</f>
        <v>2.0670900000000003</v>
      </c>
      <c r="F100" s="2">
        <f>C$101/xp!E101</f>
        <v>2.1070900000000004</v>
      </c>
    </row>
    <row r="101" spans="1:6" x14ac:dyDescent="0.15">
      <c r="A101">
        <v>100</v>
      </c>
      <c r="B101">
        <f>xp!F101*0.08+40</f>
        <v>78323.600000000006</v>
      </c>
      <c r="C101">
        <f>xp!F101*$L$2+$L$1</f>
        <v>42141.8</v>
      </c>
      <c r="D101" s="2"/>
      <c r="E101" s="2"/>
      <c r="F101" s="2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"/>
  <sheetViews>
    <sheetView tabSelected="1" zoomScaleNormal="100" workbookViewId="0"/>
  </sheetViews>
  <sheetFormatPr defaultRowHeight="13.5" x14ac:dyDescent="0.15"/>
  <cols>
    <col min="2" max="4" width="2.5" bestFit="1" customWidth="1"/>
    <col min="5" max="51" width="3.5" bestFit="1" customWidth="1"/>
  </cols>
  <sheetData>
    <row r="1" spans="1:52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</row>
    <row r="2" spans="1:52" x14ac:dyDescent="0.15">
      <c r="A2" s="10" t="s">
        <v>18</v>
      </c>
      <c r="B2" s="5">
        <v>5</v>
      </c>
      <c r="C2" s="5">
        <v>7</v>
      </c>
      <c r="D2" s="5">
        <v>9</v>
      </c>
      <c r="E2" s="5">
        <v>11</v>
      </c>
      <c r="F2" s="5">
        <v>13</v>
      </c>
      <c r="G2" s="5">
        <v>15</v>
      </c>
      <c r="H2" s="5">
        <v>17</v>
      </c>
      <c r="I2" s="5">
        <v>19</v>
      </c>
      <c r="J2" s="5">
        <v>21</v>
      </c>
      <c r="K2" s="5">
        <v>23</v>
      </c>
      <c r="L2" s="5">
        <v>26</v>
      </c>
      <c r="M2" s="5">
        <v>30</v>
      </c>
      <c r="N2" s="5">
        <v>32</v>
      </c>
      <c r="O2" s="5">
        <v>34</v>
      </c>
      <c r="P2" s="5">
        <v>36</v>
      </c>
      <c r="Q2" s="5">
        <v>38</v>
      </c>
      <c r="R2" s="5">
        <v>40</v>
      </c>
      <c r="S2" s="5">
        <v>45</v>
      </c>
      <c r="T2" s="5">
        <v>48</v>
      </c>
      <c r="U2" s="16">
        <v>50</v>
      </c>
      <c r="V2" s="5">
        <v>51</v>
      </c>
      <c r="W2" s="5">
        <v>52</v>
      </c>
      <c r="X2" s="5">
        <v>53</v>
      </c>
      <c r="Y2" s="5">
        <v>54</v>
      </c>
      <c r="Z2" s="5">
        <v>55</v>
      </c>
      <c r="AA2" s="5">
        <v>56</v>
      </c>
      <c r="AB2" s="5">
        <v>57</v>
      </c>
      <c r="AC2" s="5">
        <v>58</v>
      </c>
      <c r="AD2" s="5">
        <v>59</v>
      </c>
      <c r="AE2" s="16">
        <v>60</v>
      </c>
      <c r="AF2" s="5">
        <v>61</v>
      </c>
      <c r="AG2" s="5">
        <v>62</v>
      </c>
      <c r="AH2" s="5">
        <v>63</v>
      </c>
      <c r="AI2" s="5">
        <v>64</v>
      </c>
      <c r="AJ2" s="5">
        <v>65</v>
      </c>
      <c r="AK2" s="5">
        <v>66</v>
      </c>
      <c r="AL2" s="5">
        <v>67</v>
      </c>
      <c r="AM2" s="5">
        <v>68</v>
      </c>
      <c r="AN2" s="5">
        <v>69</v>
      </c>
      <c r="AO2" s="5">
        <v>70</v>
      </c>
      <c r="AP2" s="25">
        <f>AP1/4+60</f>
        <v>70.25</v>
      </c>
      <c r="AQ2" s="25">
        <f t="shared" ref="AQ2:AY2" si="0">AQ1/4+60</f>
        <v>70.5</v>
      </c>
      <c r="AR2" s="25">
        <f t="shared" si="0"/>
        <v>70.75</v>
      </c>
      <c r="AS2" s="25">
        <f t="shared" si="0"/>
        <v>71</v>
      </c>
      <c r="AT2" s="25">
        <f t="shared" si="0"/>
        <v>71.25</v>
      </c>
      <c r="AU2" s="25">
        <f t="shared" si="0"/>
        <v>71.5</v>
      </c>
      <c r="AV2" s="25">
        <f t="shared" si="0"/>
        <v>71.75</v>
      </c>
      <c r="AW2" s="25">
        <f t="shared" si="0"/>
        <v>72</v>
      </c>
      <c r="AX2" s="25">
        <f t="shared" si="0"/>
        <v>72.25</v>
      </c>
      <c r="AY2" s="20">
        <f t="shared" si="0"/>
        <v>72.5</v>
      </c>
      <c r="AZ2" t="s">
        <v>21</v>
      </c>
    </row>
    <row r="3" spans="1:52" x14ac:dyDescent="0.15">
      <c r="A3" s="6" t="s">
        <v>19</v>
      </c>
      <c r="B3" s="7">
        <f>B2*0.75</f>
        <v>3.75</v>
      </c>
      <c r="C3" s="7">
        <f t="shared" ref="C3:AO3" si="1">C2*0.75</f>
        <v>5.25</v>
      </c>
      <c r="D3" s="7">
        <f t="shared" si="1"/>
        <v>6.75</v>
      </c>
      <c r="E3" s="7">
        <f t="shared" si="1"/>
        <v>8.25</v>
      </c>
      <c r="F3" s="7">
        <f t="shared" si="1"/>
        <v>9.75</v>
      </c>
      <c r="G3" s="7">
        <f t="shared" si="1"/>
        <v>11.25</v>
      </c>
      <c r="H3" s="7">
        <f t="shared" si="1"/>
        <v>12.75</v>
      </c>
      <c r="I3" s="7">
        <f t="shared" si="1"/>
        <v>14.25</v>
      </c>
      <c r="J3" s="7">
        <f t="shared" si="1"/>
        <v>15.75</v>
      </c>
      <c r="K3" s="7">
        <f t="shared" si="1"/>
        <v>17.25</v>
      </c>
      <c r="L3" s="7">
        <f t="shared" si="1"/>
        <v>19.5</v>
      </c>
      <c r="M3" s="7">
        <f t="shared" si="1"/>
        <v>22.5</v>
      </c>
      <c r="N3" s="7">
        <f t="shared" si="1"/>
        <v>24</v>
      </c>
      <c r="O3" s="7">
        <f t="shared" si="1"/>
        <v>25.5</v>
      </c>
      <c r="P3" s="7">
        <f t="shared" si="1"/>
        <v>27</v>
      </c>
      <c r="Q3" s="7">
        <f t="shared" si="1"/>
        <v>28.5</v>
      </c>
      <c r="R3" s="7">
        <f t="shared" si="1"/>
        <v>30</v>
      </c>
      <c r="S3" s="7">
        <f t="shared" si="1"/>
        <v>33.75</v>
      </c>
      <c r="T3" s="7">
        <f t="shared" si="1"/>
        <v>36</v>
      </c>
      <c r="U3" s="17">
        <f t="shared" si="1"/>
        <v>37.5</v>
      </c>
      <c r="V3" s="7">
        <f t="shared" si="1"/>
        <v>38.25</v>
      </c>
      <c r="W3" s="7">
        <f t="shared" si="1"/>
        <v>39</v>
      </c>
      <c r="X3" s="7">
        <f t="shared" si="1"/>
        <v>39.75</v>
      </c>
      <c r="Y3" s="7">
        <f t="shared" si="1"/>
        <v>40.5</v>
      </c>
      <c r="Z3" s="7">
        <f t="shared" si="1"/>
        <v>41.25</v>
      </c>
      <c r="AA3" s="7">
        <f t="shared" si="1"/>
        <v>42</v>
      </c>
      <c r="AB3" s="7">
        <f t="shared" si="1"/>
        <v>42.75</v>
      </c>
      <c r="AC3" s="7">
        <f t="shared" si="1"/>
        <v>43.5</v>
      </c>
      <c r="AD3" s="7">
        <f t="shared" si="1"/>
        <v>44.25</v>
      </c>
      <c r="AE3" s="17">
        <f t="shared" si="1"/>
        <v>45</v>
      </c>
      <c r="AF3" s="7">
        <f t="shared" si="1"/>
        <v>45.75</v>
      </c>
      <c r="AG3" s="7">
        <f t="shared" si="1"/>
        <v>46.5</v>
      </c>
      <c r="AH3" s="7">
        <f t="shared" si="1"/>
        <v>47.25</v>
      </c>
      <c r="AI3" s="7">
        <f t="shared" si="1"/>
        <v>48</v>
      </c>
      <c r="AJ3" s="7">
        <f t="shared" si="1"/>
        <v>48.75</v>
      </c>
      <c r="AK3" s="7">
        <f t="shared" si="1"/>
        <v>49.5</v>
      </c>
      <c r="AL3" s="7">
        <f t="shared" si="1"/>
        <v>50.25</v>
      </c>
      <c r="AM3" s="7">
        <f t="shared" si="1"/>
        <v>51</v>
      </c>
      <c r="AN3" s="7">
        <f t="shared" si="1"/>
        <v>51.75</v>
      </c>
      <c r="AO3" s="7">
        <f t="shared" si="1"/>
        <v>52.5</v>
      </c>
      <c r="AP3" s="14">
        <f t="shared" ref="AP3" si="2">AP2*0.75</f>
        <v>52.6875</v>
      </c>
      <c r="AQ3" s="14">
        <f t="shared" ref="AQ3" si="3">AQ2*0.75</f>
        <v>52.875</v>
      </c>
      <c r="AR3" s="14">
        <f t="shared" ref="AR3" si="4">AR2*0.75</f>
        <v>53.0625</v>
      </c>
      <c r="AS3" s="14">
        <f t="shared" ref="AS3" si="5">AS2*0.75</f>
        <v>53.25</v>
      </c>
      <c r="AT3" s="14">
        <f t="shared" ref="AT3" si="6">AT2*0.75</f>
        <v>53.4375</v>
      </c>
      <c r="AU3" s="14">
        <f t="shared" ref="AU3" si="7">AU2*0.75</f>
        <v>53.625</v>
      </c>
      <c r="AV3" s="14">
        <f t="shared" ref="AV3" si="8">AV2*0.75</f>
        <v>53.8125</v>
      </c>
      <c r="AW3" s="14">
        <f t="shared" ref="AW3" si="9">AW2*0.75</f>
        <v>54</v>
      </c>
      <c r="AX3" s="14">
        <f t="shared" ref="AX3" si="10">AX2*0.75</f>
        <v>54.1875</v>
      </c>
      <c r="AY3" s="21">
        <f t="shared" ref="AY3" si="11">AY2*0.75</f>
        <v>54.375</v>
      </c>
    </row>
    <row r="4" spans="1:52" ht="14.25" thickBot="1" x14ac:dyDescent="0.2">
      <c r="A4" s="8" t="s">
        <v>20</v>
      </c>
      <c r="B4" s="9">
        <f>B2*0.5</f>
        <v>2.5</v>
      </c>
      <c r="C4" s="9">
        <f t="shared" ref="C4:AO4" si="12">C2*0.5</f>
        <v>3.5</v>
      </c>
      <c r="D4" s="9">
        <f t="shared" si="12"/>
        <v>4.5</v>
      </c>
      <c r="E4" s="9">
        <f t="shared" si="12"/>
        <v>5.5</v>
      </c>
      <c r="F4" s="9">
        <f t="shared" si="12"/>
        <v>6.5</v>
      </c>
      <c r="G4" s="9">
        <f t="shared" si="12"/>
        <v>7.5</v>
      </c>
      <c r="H4" s="9">
        <f t="shared" si="12"/>
        <v>8.5</v>
      </c>
      <c r="I4" s="9">
        <f t="shared" si="12"/>
        <v>9.5</v>
      </c>
      <c r="J4" s="9">
        <f t="shared" si="12"/>
        <v>10.5</v>
      </c>
      <c r="K4" s="9">
        <f t="shared" si="12"/>
        <v>11.5</v>
      </c>
      <c r="L4" s="9">
        <f t="shared" si="12"/>
        <v>13</v>
      </c>
      <c r="M4" s="9">
        <f t="shared" si="12"/>
        <v>15</v>
      </c>
      <c r="N4" s="9">
        <f t="shared" si="12"/>
        <v>16</v>
      </c>
      <c r="O4" s="9">
        <f t="shared" si="12"/>
        <v>17</v>
      </c>
      <c r="P4" s="9">
        <f t="shared" si="12"/>
        <v>18</v>
      </c>
      <c r="Q4" s="9">
        <f t="shared" si="12"/>
        <v>19</v>
      </c>
      <c r="R4" s="9">
        <f t="shared" si="12"/>
        <v>20</v>
      </c>
      <c r="S4" s="9">
        <f t="shared" si="12"/>
        <v>22.5</v>
      </c>
      <c r="T4" s="9">
        <f t="shared" si="12"/>
        <v>24</v>
      </c>
      <c r="U4" s="18">
        <f t="shared" si="12"/>
        <v>25</v>
      </c>
      <c r="V4" s="9">
        <f t="shared" si="12"/>
        <v>25.5</v>
      </c>
      <c r="W4" s="9">
        <f t="shared" si="12"/>
        <v>26</v>
      </c>
      <c r="X4" s="9">
        <f t="shared" si="12"/>
        <v>26.5</v>
      </c>
      <c r="Y4" s="9">
        <f t="shared" si="12"/>
        <v>27</v>
      </c>
      <c r="Z4" s="9">
        <f t="shared" si="12"/>
        <v>27.5</v>
      </c>
      <c r="AA4" s="9">
        <f t="shared" si="12"/>
        <v>28</v>
      </c>
      <c r="AB4" s="9">
        <f t="shared" si="12"/>
        <v>28.5</v>
      </c>
      <c r="AC4" s="9">
        <f t="shared" si="12"/>
        <v>29</v>
      </c>
      <c r="AD4" s="9">
        <f t="shared" si="12"/>
        <v>29.5</v>
      </c>
      <c r="AE4" s="18">
        <f t="shared" si="12"/>
        <v>30</v>
      </c>
      <c r="AF4" s="9">
        <f t="shared" si="12"/>
        <v>30.5</v>
      </c>
      <c r="AG4" s="9">
        <f t="shared" si="12"/>
        <v>31</v>
      </c>
      <c r="AH4" s="9">
        <f t="shared" si="12"/>
        <v>31.5</v>
      </c>
      <c r="AI4" s="9">
        <f t="shared" si="12"/>
        <v>32</v>
      </c>
      <c r="AJ4" s="9">
        <f t="shared" si="12"/>
        <v>32.5</v>
      </c>
      <c r="AK4" s="9">
        <f t="shared" si="12"/>
        <v>33</v>
      </c>
      <c r="AL4" s="9">
        <f t="shared" si="12"/>
        <v>33.5</v>
      </c>
      <c r="AM4" s="9">
        <f t="shared" si="12"/>
        <v>34</v>
      </c>
      <c r="AN4" s="9">
        <f t="shared" si="12"/>
        <v>34.5</v>
      </c>
      <c r="AO4" s="9">
        <f t="shared" si="12"/>
        <v>35</v>
      </c>
      <c r="AP4" s="15">
        <f t="shared" ref="AP4:AY4" si="13">AP2*0.5</f>
        <v>35.125</v>
      </c>
      <c r="AQ4" s="15">
        <f t="shared" si="13"/>
        <v>35.25</v>
      </c>
      <c r="AR4" s="15">
        <f t="shared" si="13"/>
        <v>35.375</v>
      </c>
      <c r="AS4" s="15">
        <f t="shared" si="13"/>
        <v>35.5</v>
      </c>
      <c r="AT4" s="15">
        <f t="shared" si="13"/>
        <v>35.625</v>
      </c>
      <c r="AU4" s="15">
        <f t="shared" si="13"/>
        <v>35.75</v>
      </c>
      <c r="AV4" s="15">
        <f t="shared" si="13"/>
        <v>35.875</v>
      </c>
      <c r="AW4" s="15">
        <f t="shared" si="13"/>
        <v>36</v>
      </c>
      <c r="AX4" s="15">
        <f t="shared" si="13"/>
        <v>36.125</v>
      </c>
      <c r="AY4" s="22">
        <f t="shared" si="13"/>
        <v>36.25</v>
      </c>
    </row>
    <row r="5" spans="1:52" x14ac:dyDescent="0.15">
      <c r="A5" s="11" t="s">
        <v>16</v>
      </c>
      <c r="B5" s="7">
        <f>B6*1.25</f>
        <v>5</v>
      </c>
      <c r="C5" s="7">
        <f t="shared" ref="C5:AY5" si="14">C6*1.25</f>
        <v>6.25</v>
      </c>
      <c r="D5" s="7">
        <f t="shared" si="14"/>
        <v>7.5</v>
      </c>
      <c r="E5" s="7">
        <f t="shared" si="14"/>
        <v>8.75</v>
      </c>
      <c r="F5" s="7">
        <f t="shared" si="14"/>
        <v>10</v>
      </c>
      <c r="G5" s="7">
        <f t="shared" si="14"/>
        <v>12.5</v>
      </c>
      <c r="H5" s="7">
        <f t="shared" si="14"/>
        <v>15</v>
      </c>
      <c r="I5" s="7">
        <f t="shared" si="14"/>
        <v>16.25</v>
      </c>
      <c r="J5" s="7">
        <f t="shared" si="14"/>
        <v>17.5</v>
      </c>
      <c r="K5" s="7">
        <f t="shared" si="14"/>
        <v>20</v>
      </c>
      <c r="L5" s="7">
        <f t="shared" si="14"/>
        <v>22.5</v>
      </c>
      <c r="M5" s="7">
        <f t="shared" si="14"/>
        <v>25</v>
      </c>
      <c r="N5" s="7">
        <f t="shared" si="14"/>
        <v>27.5</v>
      </c>
      <c r="O5" s="7">
        <f t="shared" si="14"/>
        <v>30</v>
      </c>
      <c r="P5" s="7">
        <f t="shared" si="14"/>
        <v>32.5</v>
      </c>
      <c r="Q5" s="7">
        <f t="shared" si="14"/>
        <v>35</v>
      </c>
      <c r="R5" s="7">
        <f t="shared" si="14"/>
        <v>37.5</v>
      </c>
      <c r="S5" s="7">
        <f t="shared" si="14"/>
        <v>40</v>
      </c>
      <c r="T5" s="7">
        <f t="shared" si="14"/>
        <v>42.5</v>
      </c>
      <c r="U5" s="17">
        <f t="shared" si="14"/>
        <v>45</v>
      </c>
      <c r="V5" s="7">
        <f t="shared" si="14"/>
        <v>47.5</v>
      </c>
      <c r="W5" s="7">
        <f t="shared" si="14"/>
        <v>48.75</v>
      </c>
      <c r="X5" s="7">
        <f t="shared" si="14"/>
        <v>50</v>
      </c>
      <c r="Y5" s="7">
        <f t="shared" si="14"/>
        <v>51.25</v>
      </c>
      <c r="Z5" s="7">
        <f t="shared" si="14"/>
        <v>52.5</v>
      </c>
      <c r="AA5" s="7">
        <f t="shared" si="14"/>
        <v>53.75</v>
      </c>
      <c r="AB5" s="7">
        <f t="shared" si="14"/>
        <v>55</v>
      </c>
      <c r="AC5" s="7">
        <f t="shared" si="14"/>
        <v>56.25</v>
      </c>
      <c r="AD5" s="7">
        <f t="shared" si="14"/>
        <v>57.5</v>
      </c>
      <c r="AE5" s="17">
        <f t="shared" si="14"/>
        <v>58.75</v>
      </c>
      <c r="AF5" s="7">
        <f t="shared" si="14"/>
        <v>59.6875</v>
      </c>
      <c r="AG5" s="7">
        <f t="shared" si="14"/>
        <v>60</v>
      </c>
      <c r="AH5" s="7">
        <f t="shared" si="14"/>
        <v>60.3125</v>
      </c>
      <c r="AI5" s="7">
        <f t="shared" si="14"/>
        <v>60.625</v>
      </c>
      <c r="AJ5" s="7">
        <f t="shared" si="14"/>
        <v>60.9375</v>
      </c>
      <c r="AK5" s="7">
        <f t="shared" si="14"/>
        <v>61.25</v>
      </c>
      <c r="AL5" s="7">
        <f t="shared" si="14"/>
        <v>61.5625</v>
      </c>
      <c r="AM5" s="7">
        <f t="shared" si="14"/>
        <v>61.875</v>
      </c>
      <c r="AN5" s="7">
        <f t="shared" si="14"/>
        <v>62.1875</v>
      </c>
      <c r="AO5" s="7">
        <f t="shared" si="14"/>
        <v>62.5</v>
      </c>
      <c r="AP5" s="14">
        <f t="shared" si="14"/>
        <v>62.8125</v>
      </c>
      <c r="AQ5" s="14">
        <f t="shared" si="14"/>
        <v>63.125</v>
      </c>
      <c r="AR5" s="14">
        <f t="shared" si="14"/>
        <v>63.4375</v>
      </c>
      <c r="AS5" s="14">
        <f t="shared" si="14"/>
        <v>63.75</v>
      </c>
      <c r="AT5" s="14">
        <f t="shared" si="14"/>
        <v>64.0625</v>
      </c>
      <c r="AU5" s="14">
        <f t="shared" si="14"/>
        <v>64.375</v>
      </c>
      <c r="AV5" s="14">
        <f t="shared" si="14"/>
        <v>64.6875</v>
      </c>
      <c r="AW5" s="14">
        <f t="shared" si="14"/>
        <v>65</v>
      </c>
      <c r="AX5" s="14">
        <f t="shared" si="14"/>
        <v>65.3125</v>
      </c>
      <c r="AY5" s="21">
        <f t="shared" si="14"/>
        <v>65.625</v>
      </c>
    </row>
    <row r="6" spans="1:52" x14ac:dyDescent="0.15">
      <c r="A6" s="12" t="s">
        <v>15</v>
      </c>
      <c r="B6" s="7">
        <v>4</v>
      </c>
      <c r="C6" s="7">
        <v>5</v>
      </c>
      <c r="D6" s="7">
        <v>6</v>
      </c>
      <c r="E6" s="7">
        <v>7</v>
      </c>
      <c r="F6" s="7">
        <v>8</v>
      </c>
      <c r="G6" s="7">
        <v>10</v>
      </c>
      <c r="H6" s="7">
        <v>12</v>
      </c>
      <c r="I6" s="7">
        <v>13</v>
      </c>
      <c r="J6" s="7">
        <v>14</v>
      </c>
      <c r="K6" s="7">
        <v>16</v>
      </c>
      <c r="L6" s="7">
        <v>18</v>
      </c>
      <c r="M6" s="7">
        <v>20</v>
      </c>
      <c r="N6" s="7">
        <v>22</v>
      </c>
      <c r="O6" s="7">
        <v>24</v>
      </c>
      <c r="P6" s="7">
        <v>26</v>
      </c>
      <c r="Q6" s="7">
        <v>28</v>
      </c>
      <c r="R6" s="7">
        <v>30</v>
      </c>
      <c r="S6" s="7">
        <v>32</v>
      </c>
      <c r="T6" s="14">
        <v>34</v>
      </c>
      <c r="U6" s="7">
        <v>36</v>
      </c>
      <c r="V6" s="7">
        <v>38</v>
      </c>
      <c r="W6" s="14">
        <v>39</v>
      </c>
      <c r="X6" s="7">
        <v>40</v>
      </c>
      <c r="Y6" s="14">
        <v>41</v>
      </c>
      <c r="Z6" s="7">
        <v>42</v>
      </c>
      <c r="AA6" s="14">
        <v>43</v>
      </c>
      <c r="AB6" s="7">
        <v>44</v>
      </c>
      <c r="AC6" s="14">
        <v>45</v>
      </c>
      <c r="AD6" s="7">
        <v>46</v>
      </c>
      <c r="AE6" s="23">
        <v>47</v>
      </c>
      <c r="AF6" s="24">
        <f t="shared" ref="AF6:AY6" si="15">AF1/4+40</f>
        <v>47.75</v>
      </c>
      <c r="AG6" s="24">
        <f t="shared" si="15"/>
        <v>48</v>
      </c>
      <c r="AH6" s="24">
        <f t="shared" si="15"/>
        <v>48.25</v>
      </c>
      <c r="AI6" s="24">
        <f t="shared" si="15"/>
        <v>48.5</v>
      </c>
      <c r="AJ6" s="24">
        <f t="shared" si="15"/>
        <v>48.75</v>
      </c>
      <c r="AK6" s="24">
        <f t="shared" si="15"/>
        <v>49</v>
      </c>
      <c r="AL6" s="24">
        <f t="shared" si="15"/>
        <v>49.25</v>
      </c>
      <c r="AM6" s="24">
        <f t="shared" si="15"/>
        <v>49.5</v>
      </c>
      <c r="AN6" s="24">
        <f t="shared" si="15"/>
        <v>49.75</v>
      </c>
      <c r="AO6" s="24">
        <f t="shared" si="15"/>
        <v>50</v>
      </c>
      <c r="AP6" s="24">
        <f t="shared" si="15"/>
        <v>50.25</v>
      </c>
      <c r="AQ6" s="24">
        <f t="shared" si="15"/>
        <v>50.5</v>
      </c>
      <c r="AR6" s="24">
        <f t="shared" si="15"/>
        <v>50.75</v>
      </c>
      <c r="AS6" s="24">
        <f t="shared" si="15"/>
        <v>51</v>
      </c>
      <c r="AT6" s="24">
        <f t="shared" si="15"/>
        <v>51.25</v>
      </c>
      <c r="AU6" s="24">
        <f t="shared" si="15"/>
        <v>51.5</v>
      </c>
      <c r="AV6" s="24">
        <f t="shared" si="15"/>
        <v>51.75</v>
      </c>
      <c r="AW6" s="24">
        <f t="shared" si="15"/>
        <v>52</v>
      </c>
      <c r="AX6" s="24">
        <f t="shared" si="15"/>
        <v>52.25</v>
      </c>
      <c r="AY6" s="24">
        <f t="shared" si="15"/>
        <v>52.5</v>
      </c>
      <c r="AZ6" t="s">
        <v>22</v>
      </c>
    </row>
    <row r="7" spans="1:52" ht="14.25" thickBot="1" x14ac:dyDescent="0.2">
      <c r="A7" s="13" t="s">
        <v>17</v>
      </c>
      <c r="B7" s="9">
        <f>B6*0.75</f>
        <v>3</v>
      </c>
      <c r="C7" s="9">
        <f t="shared" ref="C7:AY7" si="16">C6*0.75</f>
        <v>3.75</v>
      </c>
      <c r="D7" s="9">
        <f t="shared" si="16"/>
        <v>4.5</v>
      </c>
      <c r="E7" s="9">
        <f t="shared" si="16"/>
        <v>5.25</v>
      </c>
      <c r="F7" s="9">
        <f t="shared" si="16"/>
        <v>6</v>
      </c>
      <c r="G7" s="9">
        <f t="shared" si="16"/>
        <v>7.5</v>
      </c>
      <c r="H7" s="9">
        <f t="shared" si="16"/>
        <v>9</v>
      </c>
      <c r="I7" s="9">
        <f t="shared" si="16"/>
        <v>9.75</v>
      </c>
      <c r="J7" s="9">
        <f t="shared" si="16"/>
        <v>10.5</v>
      </c>
      <c r="K7" s="9">
        <f t="shared" si="16"/>
        <v>12</v>
      </c>
      <c r="L7" s="9">
        <f t="shared" si="16"/>
        <v>13.5</v>
      </c>
      <c r="M7" s="9">
        <f t="shared" si="16"/>
        <v>15</v>
      </c>
      <c r="N7" s="9">
        <f t="shared" si="16"/>
        <v>16.5</v>
      </c>
      <c r="O7" s="9">
        <f t="shared" si="16"/>
        <v>18</v>
      </c>
      <c r="P7" s="9">
        <f t="shared" si="16"/>
        <v>19.5</v>
      </c>
      <c r="Q7" s="9">
        <f t="shared" si="16"/>
        <v>21</v>
      </c>
      <c r="R7" s="9">
        <f t="shared" si="16"/>
        <v>22.5</v>
      </c>
      <c r="S7" s="9">
        <f t="shared" si="16"/>
        <v>24</v>
      </c>
      <c r="T7" s="9">
        <f t="shared" si="16"/>
        <v>25.5</v>
      </c>
      <c r="U7" s="18">
        <f t="shared" si="16"/>
        <v>27</v>
      </c>
      <c r="V7" s="9">
        <f t="shared" si="16"/>
        <v>28.5</v>
      </c>
      <c r="W7" s="9">
        <f t="shared" si="16"/>
        <v>29.25</v>
      </c>
      <c r="X7" s="9">
        <f t="shared" si="16"/>
        <v>30</v>
      </c>
      <c r="Y7" s="9">
        <f t="shared" si="16"/>
        <v>30.75</v>
      </c>
      <c r="Z7" s="9">
        <f t="shared" si="16"/>
        <v>31.5</v>
      </c>
      <c r="AA7" s="9">
        <f t="shared" si="16"/>
        <v>32.25</v>
      </c>
      <c r="AB7" s="9">
        <f t="shared" si="16"/>
        <v>33</v>
      </c>
      <c r="AC7" s="9">
        <f t="shared" si="16"/>
        <v>33.75</v>
      </c>
      <c r="AD7" s="9">
        <f t="shared" si="16"/>
        <v>34.5</v>
      </c>
      <c r="AE7" s="18">
        <f t="shared" si="16"/>
        <v>35.25</v>
      </c>
      <c r="AF7" s="9">
        <f t="shared" si="16"/>
        <v>35.8125</v>
      </c>
      <c r="AG7" s="9">
        <f t="shared" si="16"/>
        <v>36</v>
      </c>
      <c r="AH7" s="9">
        <f t="shared" si="16"/>
        <v>36.1875</v>
      </c>
      <c r="AI7" s="9">
        <f t="shared" si="16"/>
        <v>36.375</v>
      </c>
      <c r="AJ7" s="9">
        <f t="shared" si="16"/>
        <v>36.5625</v>
      </c>
      <c r="AK7" s="9">
        <f t="shared" si="16"/>
        <v>36.75</v>
      </c>
      <c r="AL7" s="9">
        <f t="shared" si="16"/>
        <v>36.9375</v>
      </c>
      <c r="AM7" s="9">
        <f t="shared" si="16"/>
        <v>37.125</v>
      </c>
      <c r="AN7" s="9">
        <f t="shared" si="16"/>
        <v>37.3125</v>
      </c>
      <c r="AO7" s="9">
        <f t="shared" si="16"/>
        <v>37.5</v>
      </c>
      <c r="AP7" s="15">
        <f t="shared" si="16"/>
        <v>37.6875</v>
      </c>
      <c r="AQ7" s="15">
        <f t="shared" si="16"/>
        <v>37.875</v>
      </c>
      <c r="AR7" s="15">
        <f t="shared" si="16"/>
        <v>38.0625</v>
      </c>
      <c r="AS7" s="15">
        <f t="shared" si="16"/>
        <v>38.25</v>
      </c>
      <c r="AT7" s="15">
        <f t="shared" si="16"/>
        <v>38.4375</v>
      </c>
      <c r="AU7" s="15">
        <f t="shared" si="16"/>
        <v>38.625</v>
      </c>
      <c r="AV7" s="15">
        <f t="shared" si="16"/>
        <v>38.8125</v>
      </c>
      <c r="AW7" s="15">
        <f t="shared" si="16"/>
        <v>39</v>
      </c>
      <c r="AX7" s="15">
        <f t="shared" si="16"/>
        <v>39.1875</v>
      </c>
      <c r="AY7" s="22">
        <f t="shared" si="16"/>
        <v>39.375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xp</vt:lpstr>
      <vt:lpstr>killXP</vt:lpstr>
      <vt:lpstr>respawntime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2021-12-12T05:44:49Z</dcterms:modified>
</cp:coreProperties>
</file>