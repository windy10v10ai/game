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3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4" l="1"/>
  <c r="F10" i="4"/>
  <c r="F15" i="4"/>
  <c r="F13" i="4"/>
  <c r="F12" i="4"/>
  <c r="F11" i="4"/>
  <c r="D13" i="4"/>
  <c r="B13" i="4"/>
  <c r="D12" i="4"/>
  <c r="B12" i="4"/>
  <c r="D11" i="4"/>
  <c r="B11" i="4"/>
  <c r="D10" i="4"/>
  <c r="B10" i="4"/>
  <c r="D9" i="4"/>
  <c r="B9" i="4"/>
  <c r="D8" i="4"/>
  <c r="B8" i="4"/>
  <c r="D7" i="4"/>
  <c r="B7" i="4"/>
  <c r="K35" i="4" l="1"/>
  <c r="K24" i="4"/>
  <c r="J25" i="4"/>
  <c r="J26" i="4"/>
  <c r="J27" i="4"/>
  <c r="J28" i="4"/>
  <c r="J29" i="4"/>
  <c r="J30" i="4"/>
  <c r="J31" i="4"/>
  <c r="J32" i="4"/>
  <c r="J33" i="4"/>
  <c r="J34" i="4"/>
  <c r="J35" i="4"/>
  <c r="J23" i="4"/>
  <c r="J24" i="4"/>
  <c r="I24" i="4"/>
  <c r="I25" i="4"/>
  <c r="I26" i="4"/>
  <c r="I27" i="4"/>
  <c r="I28" i="4"/>
  <c r="I29" i="4"/>
  <c r="I30" i="4"/>
  <c r="I31" i="4"/>
  <c r="I32" i="4"/>
  <c r="I33" i="4"/>
  <c r="I34" i="4"/>
  <c r="I35" i="4"/>
  <c r="I23" i="4"/>
  <c r="C27" i="4" l="1"/>
  <c r="D27" i="4"/>
  <c r="D28" i="4"/>
  <c r="D26" i="4"/>
  <c r="D25" i="4"/>
  <c r="C25" i="4"/>
  <c r="C26" i="4"/>
  <c r="C28" i="4"/>
  <c r="C24" i="4"/>
  <c r="D24" i="4"/>
  <c r="E24" i="4"/>
  <c r="C23" i="4"/>
  <c r="E35" i="4"/>
  <c r="D29" i="4"/>
  <c r="D30" i="4"/>
  <c r="D31" i="4"/>
  <c r="D32" i="4"/>
  <c r="D33" i="4"/>
  <c r="D34" i="4"/>
  <c r="D35" i="4"/>
  <c r="D23" i="4"/>
  <c r="C29" i="4"/>
  <c r="C30" i="4"/>
  <c r="C31" i="4"/>
  <c r="C32" i="4"/>
  <c r="C33" i="4"/>
  <c r="C34" i="4"/>
  <c r="C35" i="4"/>
  <c r="F9" i="4" l="1"/>
  <c r="F8" i="4"/>
  <c r="F7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BA6" i="2"/>
  <c r="BA7" i="2" s="1"/>
  <c r="AZ6" i="2"/>
  <c r="AZ7" i="2" s="1"/>
  <c r="BA5" i="2" l="1"/>
  <c r="AZ5" i="2"/>
  <c r="C31" i="3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<sst xmlns="http://schemas.openxmlformats.org/spreadsheetml/2006/main" count="52" uniqueCount="40">
  <si>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</si>
  <si>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</si>
  <si>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</si>
  <si>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</si>
  <si>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</si>
  <si>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</si>
  <si>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</si>
  <si>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</si>
  <si>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</si>
  <si>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</si>
  <si>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</si>
  <si>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</si>
  <si>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</si>
  <si>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</si>
  <si>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</si>
  <si>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</si>
  <si>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</si>
  <si>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</si>
  <si>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</si>
  <si>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</si>
  <si>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</si>
  <si>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</si>
  <si>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</si>
  <si>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</si>
  <si>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</si>
  <si>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</si>
  <si>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</si>
  <si>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</si>
  <si>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</si>
  <si>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</si>
  <si>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</si>
  <si>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</si>
  <si>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1.37b</t>
    <phoneticPr fontId="1"/>
  </si>
  <si>
    <r>
      <t>人</t>
    </r>
    <r>
      <rPr>
        <sz val="11"/>
        <color theme="1"/>
        <rFont val="ＭＳ Ｐゴシック"/>
        <family val="3"/>
        <charset val="134"/>
        <scheme val="minor"/>
      </rPr>
      <t>头总数</t>
    </r>
    <phoneticPr fontId="1"/>
  </si>
  <si>
    <r>
      <t>个人人</t>
    </r>
    <r>
      <rPr>
        <sz val="11"/>
        <color theme="1"/>
        <rFont val="ＭＳ Ｐゴシック"/>
        <family val="3"/>
        <charset val="134"/>
        <scheme val="minor"/>
      </rPr>
      <t>头</t>
    </r>
    <phoneticPr fontId="1"/>
  </si>
  <si>
    <t>收益倍率</t>
    <phoneticPr fontId="1"/>
  </si>
  <si>
    <t>团队人数</t>
    <phoneticPr fontId="1"/>
  </si>
  <si>
    <t>rewardMulti = 1 - playerKill/teamKill + 1/teamCount</t>
    <phoneticPr fontId="1"/>
  </si>
  <si>
    <t>rewardMulti = (1 - playerKill/teamKill + 1/teamCount) ^ 2</t>
    <phoneticPr fontId="1"/>
  </si>
  <si>
    <t>2.0b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</si>
</sst>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9" xfId="0" applyBorder="1">
      <alignment vertical="center"/>
    </xf>
    <xf numFmtId="0" fontId="0" fillId="2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312480"/>
        <c:axId val="-622308128"/>
      </c:lineChart>
      <c:catAx>
        <c:axId val="-62231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08128"/>
        <c:crosses val="autoZero"/>
        <c:auto val="1"/>
        <c:lblAlgn val="ctr"/>
        <c:lblOffset val="100"/>
        <c:noMultiLvlLbl val="0"/>
      </c:catAx>
      <c:valAx>
        <c:axId val="-6223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22303776"/>
        <c:axId val="-622315744"/>
      </c:barChart>
      <c:catAx>
        <c:axId val="-62230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5744"/>
        <c:crosses val="autoZero"/>
        <c:auto val="1"/>
        <c:lblAlgn val="ctr"/>
        <c:lblOffset val="100"/>
        <c:noMultiLvlLbl val="0"/>
      </c:catAx>
      <c:valAx>
        <c:axId val="-6223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22310304"/>
        <c:axId val="-622305952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2304320"/>
        <c:axId val="-622305408"/>
      </c:lineChart>
      <c:valAx>
        <c:axId val="-622305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0304"/>
        <c:crosses val="autoZero"/>
        <c:crossBetween val="between"/>
      </c:valAx>
      <c:catAx>
        <c:axId val="-622310304"/>
        <c:scaling>
          <c:orientation val="minMax"/>
        </c:scaling>
        <c:delete val="1"/>
        <c:axPos val="b"/>
        <c:majorTickMark val="out"/>
        <c:minorTickMark val="none"/>
        <c:tickLblPos val="nextTo"/>
        <c:crossAx val="-622305952"/>
        <c:crosses val="autoZero"/>
        <c:auto val="1"/>
        <c:lblAlgn val="ctr"/>
        <c:lblOffset val="100"/>
        <c:noMultiLvlLbl val="0"/>
      </c:catAx>
      <c:valAx>
        <c:axId val="-622305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04320"/>
        <c:crosses val="max"/>
        <c:crossBetween val="between"/>
      </c:valAx>
      <c:catAx>
        <c:axId val="-62230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-622305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 formatCode="0">
                  <c:v>79.2</c:v>
                </c:pt>
                <c:pt idx="41" formatCode="0">
                  <c:v>79.2</c:v>
                </c:pt>
                <c:pt idx="42" formatCode="0">
                  <c:v>80.399999999999991</c:v>
                </c:pt>
                <c:pt idx="43" formatCode="0">
                  <c:v>80.399999999999991</c:v>
                </c:pt>
                <c:pt idx="44" formatCode="0">
                  <c:v>81.599999999999994</c:v>
                </c:pt>
                <c:pt idx="45" formatCode="0">
                  <c:v>81.599999999999994</c:v>
                </c:pt>
                <c:pt idx="46" formatCode="0">
                  <c:v>82.8</c:v>
                </c:pt>
                <c:pt idx="47" formatCode="0">
                  <c:v>82.8</c:v>
                </c:pt>
                <c:pt idx="48" formatCode="0">
                  <c:v>84</c:v>
                </c:pt>
                <c:pt idx="49" formatCode="0">
                  <c:v>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 formatCode="0">
                  <c:v>52.800000000000004</c:v>
                </c:pt>
                <c:pt idx="41" formatCode="0">
                  <c:v>52.800000000000004</c:v>
                </c:pt>
                <c:pt idx="42" formatCode="0">
                  <c:v>53.6</c:v>
                </c:pt>
                <c:pt idx="43" formatCode="0">
                  <c:v>53.6</c:v>
                </c:pt>
                <c:pt idx="44" formatCode="0">
                  <c:v>54.400000000000006</c:v>
                </c:pt>
                <c:pt idx="45" formatCode="0">
                  <c:v>54.400000000000006</c:v>
                </c:pt>
                <c:pt idx="46" formatCode="0">
                  <c:v>55.2</c:v>
                </c:pt>
                <c:pt idx="47" formatCode="0">
                  <c:v>55.2</c:v>
                </c:pt>
                <c:pt idx="48" formatCode="0">
                  <c:v>56</c:v>
                </c:pt>
                <c:pt idx="49" formatCode="0">
                  <c:v>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79.2</c:v>
                </c:pt>
                <c:pt idx="40">
                  <c:v>80.399999999999991</c:v>
                </c:pt>
                <c:pt idx="41">
                  <c:v>81.599999999999994</c:v>
                </c:pt>
                <c:pt idx="42">
                  <c:v>82.8</c:v>
                </c:pt>
                <c:pt idx="43">
                  <c:v>84</c:v>
                </c:pt>
                <c:pt idx="44">
                  <c:v>85.2</c:v>
                </c:pt>
                <c:pt idx="45">
                  <c:v>86.399999999999991</c:v>
                </c:pt>
                <c:pt idx="46">
                  <c:v>87.6</c:v>
                </c:pt>
                <c:pt idx="47">
                  <c:v>88.8</c:v>
                </c:pt>
                <c:pt idx="48">
                  <c:v>90</c:v>
                </c:pt>
                <c:pt idx="49">
                  <c:v>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 formatCode="0">
                  <c:v>67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70</c:v>
                </c:pt>
                <c:pt idx="44" formatCode="0">
                  <c:v>71</c:v>
                </c:pt>
                <c:pt idx="45" formatCode="0">
                  <c:v>72</c:v>
                </c:pt>
                <c:pt idx="46" formatCode="0">
                  <c:v>73</c:v>
                </c:pt>
                <c:pt idx="47" formatCode="0">
                  <c:v>74</c:v>
                </c:pt>
                <c:pt idx="48" formatCode="0">
                  <c:v>75</c:v>
                </c:pt>
                <c:pt idx="49" formatCode="0">
                  <c:v>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52.800000000000004</c:v>
                </c:pt>
                <c:pt idx="40">
                  <c:v>53.6</c:v>
                </c:pt>
                <c:pt idx="41">
                  <c:v>54.400000000000006</c:v>
                </c:pt>
                <c:pt idx="42">
                  <c:v>55.2</c:v>
                </c:pt>
                <c:pt idx="43">
                  <c:v>56</c:v>
                </c:pt>
                <c:pt idx="44">
                  <c:v>56.800000000000004</c:v>
                </c:pt>
                <c:pt idx="45">
                  <c:v>57.6</c:v>
                </c:pt>
                <c:pt idx="46">
                  <c:v>58.400000000000006</c:v>
                </c:pt>
                <c:pt idx="47">
                  <c:v>59.2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22304864"/>
        <c:axId val="-622315200"/>
      </c:lineChart>
      <c:catAx>
        <c:axId val="-62230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5200"/>
        <c:crosses val="autoZero"/>
        <c:auto val="1"/>
        <c:lblAlgn val="ctr"/>
        <c:lblOffset val="100"/>
        <c:noMultiLvlLbl val="0"/>
      </c:catAx>
      <c:valAx>
        <c:axId val="-62231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0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1.37b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1200</c:v>
                </c:pt>
                <c:pt idx="4">
                  <c:v>1200</c:v>
                </c:pt>
                <c:pt idx="5">
                  <c:v>2000</c:v>
                </c:pt>
                <c:pt idx="6">
                  <c:v>2000</c:v>
                </c:pt>
                <c:pt idx="7">
                  <c:v>6000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700</c:v>
                </c:pt>
                <c:pt idx="4">
                  <c:v>700</c:v>
                </c:pt>
                <c:pt idx="5">
                  <c:v>900</c:v>
                </c:pt>
                <c:pt idx="6">
                  <c:v>900</c:v>
                </c:pt>
                <c:pt idx="7">
                  <c:v>1400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killgold!$E$4</c:f>
              <c:strCache>
                <c:ptCount val="1"/>
                <c:pt idx="0">
                  <c:v>2.0b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killgold!$E$6:$E$15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1000</c:v>
                </c:pt>
                <c:pt idx="4">
                  <c:v>1000</c:v>
                </c:pt>
                <c:pt idx="5">
                  <c:v>2000</c:v>
                </c:pt>
                <c:pt idx="6">
                  <c:v>2000</c:v>
                </c:pt>
                <c:pt idx="7">
                  <c:v>4000</c:v>
                </c:pt>
                <c:pt idx="8">
                  <c:v>4000</c:v>
                </c:pt>
                <c:pt idx="9">
                  <c:v>6000</c:v>
                </c:pt>
              </c:numCache>
            </c:numRef>
          </c:xVal>
          <c:yVal>
            <c:numRef>
              <c:f>killgold!$F$6:$F$15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600</c:v>
                </c:pt>
                <c:pt idx="4">
                  <c:v>600</c:v>
                </c:pt>
                <c:pt idx="5">
                  <c:v>800</c:v>
                </c:pt>
                <c:pt idx="6">
                  <c:v>800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22314656"/>
        <c:axId val="-622311936"/>
      </c:scatterChart>
      <c:valAx>
        <c:axId val="-62231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1936"/>
        <c:crosses val="autoZero"/>
        <c:crossBetween val="midCat"/>
      </c:valAx>
      <c:valAx>
        <c:axId val="-6223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62231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100012</xdr:rowOff>
    </xdr:from>
    <xdr:to>
      <xdr:col>13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32" t="s">
        <v>17</v>
      </c>
      <c r="C5" s="32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7.1999999999999993</v>
      </c>
      <c r="D2" s="5">
        <v>9.6</v>
      </c>
      <c r="E2" s="5">
        <v>12</v>
      </c>
      <c r="F2" s="5">
        <v>14.399999999999999</v>
      </c>
      <c r="G2" s="5">
        <v>16.8</v>
      </c>
      <c r="H2" s="5">
        <v>19.2</v>
      </c>
      <c r="I2" s="5">
        <v>21.599999999999998</v>
      </c>
      <c r="J2" s="5">
        <v>24</v>
      </c>
      <c r="K2" s="5">
        <v>26.4</v>
      </c>
      <c r="L2" s="5">
        <v>28.799999999999997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43.199999999999996</v>
      </c>
      <c r="S2" s="5">
        <v>45.6</v>
      </c>
      <c r="T2" s="5">
        <v>48</v>
      </c>
      <c r="U2" s="16">
        <v>50.4</v>
      </c>
      <c r="V2" s="5">
        <v>52.8</v>
      </c>
      <c r="W2" s="5">
        <v>55.199999999999996</v>
      </c>
      <c r="X2" s="5">
        <v>57.599999999999994</v>
      </c>
      <c r="Y2" s="5">
        <v>60</v>
      </c>
      <c r="Z2" s="5">
        <v>61.199999999999996</v>
      </c>
      <c r="AA2" s="5">
        <v>62.4</v>
      </c>
      <c r="AB2" s="5">
        <v>63.599999999999994</v>
      </c>
      <c r="AC2" s="5">
        <v>64.8</v>
      </c>
      <c r="AD2" s="5">
        <v>66</v>
      </c>
      <c r="AE2" s="16">
        <v>67.2</v>
      </c>
      <c r="AF2" s="5">
        <v>68.399999999999991</v>
      </c>
      <c r="AG2" s="5">
        <v>69.599999999999994</v>
      </c>
      <c r="AH2" s="5">
        <v>70.8</v>
      </c>
      <c r="AI2" s="5">
        <v>72</v>
      </c>
      <c r="AJ2" s="5">
        <v>73.2</v>
      </c>
      <c r="AK2" s="5">
        <v>74.399999999999991</v>
      </c>
      <c r="AL2" s="5">
        <v>75.599999999999994</v>
      </c>
      <c r="AM2" s="5">
        <v>76.8</v>
      </c>
      <c r="AN2" s="5">
        <v>78</v>
      </c>
      <c r="AO2" s="5">
        <v>78</v>
      </c>
      <c r="AP2" s="24">
        <v>79.2</v>
      </c>
      <c r="AQ2" s="24">
        <v>79.2</v>
      </c>
      <c r="AR2" s="24">
        <v>80.399999999999991</v>
      </c>
      <c r="AS2" s="24">
        <v>80.399999999999991</v>
      </c>
      <c r="AT2" s="24">
        <v>81.599999999999994</v>
      </c>
      <c r="AU2" s="24">
        <v>81.599999999999994</v>
      </c>
      <c r="AV2" s="24">
        <v>82.8</v>
      </c>
      <c r="AW2" s="24">
        <v>82.8</v>
      </c>
      <c r="AX2" s="24">
        <v>84</v>
      </c>
      <c r="AY2" s="20">
        <v>84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42</v>
      </c>
      <c r="V3" s="7">
        <v>44</v>
      </c>
      <c r="W3" s="7">
        <v>46</v>
      </c>
      <c r="X3" s="7">
        <v>48</v>
      </c>
      <c r="Y3" s="7">
        <v>50</v>
      </c>
      <c r="Z3" s="7">
        <v>51</v>
      </c>
      <c r="AA3" s="7">
        <v>52</v>
      </c>
      <c r="AB3" s="7">
        <v>53</v>
      </c>
      <c r="AC3" s="7">
        <v>54</v>
      </c>
      <c r="AD3" s="7">
        <v>55</v>
      </c>
      <c r="AE3" s="17">
        <v>56</v>
      </c>
      <c r="AF3" s="7">
        <v>57</v>
      </c>
      <c r="AG3" s="7">
        <v>58</v>
      </c>
      <c r="AH3" s="7">
        <v>59</v>
      </c>
      <c r="AI3" s="7">
        <v>60</v>
      </c>
      <c r="AJ3" s="7">
        <v>61</v>
      </c>
      <c r="AK3" s="7">
        <v>62</v>
      </c>
      <c r="AL3" s="7">
        <v>63</v>
      </c>
      <c r="AM3" s="7">
        <v>64</v>
      </c>
      <c r="AN3" s="7">
        <v>65</v>
      </c>
      <c r="AO3" s="7">
        <v>65</v>
      </c>
      <c r="AP3" s="14">
        <v>66</v>
      </c>
      <c r="AQ3" s="14">
        <v>66</v>
      </c>
      <c r="AR3" s="14">
        <v>67</v>
      </c>
      <c r="AS3" s="14">
        <v>67</v>
      </c>
      <c r="AT3" s="14">
        <v>68</v>
      </c>
      <c r="AU3" s="14">
        <v>68</v>
      </c>
      <c r="AV3" s="14">
        <v>69</v>
      </c>
      <c r="AW3" s="14">
        <v>69</v>
      </c>
      <c r="AX3" s="14">
        <v>70</v>
      </c>
      <c r="AY3" s="21">
        <v>70</v>
      </c>
    </row>
    <row r="4" spans="1:55" ht="14.25" thickBot="1" x14ac:dyDescent="0.2">
      <c r="A4" s="8" t="s">
        <v>11</v>
      </c>
      <c r="B4" s="9">
        <v>3.2</v>
      </c>
      <c r="C4" s="9">
        <v>4.8000000000000007</v>
      </c>
      <c r="D4" s="9">
        <v>6.4</v>
      </c>
      <c r="E4" s="9">
        <v>8</v>
      </c>
      <c r="F4" s="9">
        <v>9.6000000000000014</v>
      </c>
      <c r="G4" s="9">
        <v>11.200000000000001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19.200000000000003</v>
      </c>
      <c r="M4" s="9">
        <v>20.8</v>
      </c>
      <c r="N4" s="9">
        <v>22.400000000000002</v>
      </c>
      <c r="O4" s="9">
        <v>24</v>
      </c>
      <c r="P4" s="9">
        <v>25.6</v>
      </c>
      <c r="Q4" s="9">
        <v>27.200000000000003</v>
      </c>
      <c r="R4" s="9">
        <v>28.8</v>
      </c>
      <c r="S4" s="9">
        <v>30.400000000000002</v>
      </c>
      <c r="T4" s="9">
        <v>32</v>
      </c>
      <c r="U4" s="18">
        <v>33.6</v>
      </c>
      <c r="V4" s="9">
        <v>35.200000000000003</v>
      </c>
      <c r="W4" s="9">
        <v>36.800000000000004</v>
      </c>
      <c r="X4" s="9">
        <v>38.400000000000006</v>
      </c>
      <c r="Y4" s="9">
        <v>40</v>
      </c>
      <c r="Z4" s="9">
        <v>40.800000000000004</v>
      </c>
      <c r="AA4" s="9">
        <v>41.6</v>
      </c>
      <c r="AB4" s="9">
        <v>42.400000000000006</v>
      </c>
      <c r="AC4" s="9">
        <v>43.2</v>
      </c>
      <c r="AD4" s="9">
        <v>44</v>
      </c>
      <c r="AE4" s="18">
        <v>44.800000000000004</v>
      </c>
      <c r="AF4" s="9">
        <v>45.6</v>
      </c>
      <c r="AG4" s="9">
        <v>46.400000000000006</v>
      </c>
      <c r="AH4" s="9">
        <v>47.2</v>
      </c>
      <c r="AI4" s="9">
        <v>48</v>
      </c>
      <c r="AJ4" s="9">
        <v>48.800000000000004</v>
      </c>
      <c r="AK4" s="9">
        <v>49.6</v>
      </c>
      <c r="AL4" s="9">
        <v>50.400000000000006</v>
      </c>
      <c r="AM4" s="9">
        <v>51.2</v>
      </c>
      <c r="AN4" s="9">
        <v>52</v>
      </c>
      <c r="AO4" s="9">
        <v>52</v>
      </c>
      <c r="AP4" s="15">
        <v>52.800000000000004</v>
      </c>
      <c r="AQ4" s="15">
        <v>52.800000000000004</v>
      </c>
      <c r="AR4" s="15">
        <v>53.6</v>
      </c>
      <c r="AS4" s="15">
        <v>53.6</v>
      </c>
      <c r="AT4" s="15">
        <v>54.400000000000006</v>
      </c>
      <c r="AU4" s="15">
        <v>54.400000000000006</v>
      </c>
      <c r="AV4" s="15">
        <v>55.2</v>
      </c>
      <c r="AW4" s="15">
        <v>55.2</v>
      </c>
      <c r="AX4" s="15">
        <v>56</v>
      </c>
      <c r="AY4" s="22">
        <v>56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79.2</v>
      </c>
      <c r="AP5" s="7">
        <f t="shared" si="0"/>
        <v>80.399999999999991</v>
      </c>
      <c r="AQ5" s="7">
        <f t="shared" si="0"/>
        <v>81.599999999999994</v>
      </c>
      <c r="AR5" s="7">
        <f t="shared" si="0"/>
        <v>82.8</v>
      </c>
      <c r="AS5" s="7">
        <f t="shared" si="0"/>
        <v>84</v>
      </c>
      <c r="AT5" s="7">
        <f t="shared" si="0"/>
        <v>85.2</v>
      </c>
      <c r="AU5" s="7">
        <f t="shared" si="0"/>
        <v>86.399999999999991</v>
      </c>
      <c r="AV5" s="7">
        <f t="shared" si="0"/>
        <v>87.6</v>
      </c>
      <c r="AW5" s="7">
        <f t="shared" si="0"/>
        <v>88.8</v>
      </c>
      <c r="AX5" s="7">
        <f t="shared" si="0"/>
        <v>90</v>
      </c>
      <c r="AY5" s="7">
        <f t="shared" si="0"/>
        <v>90</v>
      </c>
      <c r="AZ5" s="7">
        <f t="shared" si="0"/>
        <v>89.7</v>
      </c>
      <c r="BA5" s="7">
        <f t="shared" si="0"/>
        <v>90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66</v>
      </c>
      <c r="AP6" s="23">
        <v>67</v>
      </c>
      <c r="AQ6" s="23">
        <v>68</v>
      </c>
      <c r="AR6" s="23">
        <v>69</v>
      </c>
      <c r="AS6" s="23">
        <v>70</v>
      </c>
      <c r="AT6" s="23">
        <v>71</v>
      </c>
      <c r="AU6" s="23">
        <v>72</v>
      </c>
      <c r="AV6" s="23">
        <v>73</v>
      </c>
      <c r="AW6" s="23">
        <v>74</v>
      </c>
      <c r="AX6" s="23">
        <v>75</v>
      </c>
      <c r="AY6" s="23">
        <v>75</v>
      </c>
      <c r="AZ6">
        <f>AZ1/4+$BC6</f>
        <v>74.75</v>
      </c>
      <c r="BA6">
        <f>BA1/4+$BC6</f>
        <v>75</v>
      </c>
      <c r="BB6">
        <v>1</v>
      </c>
      <c r="BC6" s="23">
        <v>62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52.800000000000004</v>
      </c>
      <c r="AP7" s="9">
        <f t="shared" si="1"/>
        <v>53.6</v>
      </c>
      <c r="AQ7" s="9">
        <f t="shared" si="1"/>
        <v>54.400000000000006</v>
      </c>
      <c r="AR7" s="9">
        <f t="shared" si="1"/>
        <v>55.2</v>
      </c>
      <c r="AS7" s="9">
        <f t="shared" si="1"/>
        <v>56</v>
      </c>
      <c r="AT7" s="9">
        <f t="shared" si="1"/>
        <v>56.800000000000004</v>
      </c>
      <c r="AU7" s="9">
        <f t="shared" si="1"/>
        <v>57.6</v>
      </c>
      <c r="AV7" s="9">
        <f t="shared" si="1"/>
        <v>58.400000000000006</v>
      </c>
      <c r="AW7" s="9">
        <f t="shared" si="1"/>
        <v>59.2</v>
      </c>
      <c r="AX7" s="9">
        <f t="shared" si="1"/>
        <v>60</v>
      </c>
      <c r="AY7" s="9">
        <f t="shared" si="1"/>
        <v>60</v>
      </c>
      <c r="AZ7" s="9">
        <f t="shared" si="1"/>
        <v>59.800000000000004</v>
      </c>
      <c r="BA7" s="9">
        <f t="shared" si="1"/>
        <v>60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5"/>
  <sheetViews>
    <sheetView tabSelected="1" zoomScale="160" zoomScaleNormal="160" workbookViewId="0">
      <selection activeCell="F15" sqref="F15"/>
    </sheetView>
  </sheetViews>
  <sheetFormatPr defaultRowHeight="13.5" x14ac:dyDescent="0.15"/>
  <sheetData>
    <row r="1" spans="1:6" x14ac:dyDescent="0.15">
      <c r="A1" s="1" t="s">
        <v>28</v>
      </c>
    </row>
    <row r="2" spans="1:6" x14ac:dyDescent="0.15">
      <c r="A2" s="1" t="s">
        <v>29</v>
      </c>
    </row>
    <row r="4" spans="1:6" x14ac:dyDescent="0.15">
      <c r="C4" t="s">
        <v>32</v>
      </c>
      <c r="E4" t="s">
        <v>39</v>
      </c>
    </row>
    <row r="5" spans="1:6" x14ac:dyDescent="0.15">
      <c r="A5" t="s">
        <v>30</v>
      </c>
      <c r="B5" t="s">
        <v>31</v>
      </c>
      <c r="C5" t="s">
        <v>30</v>
      </c>
      <c r="D5" t="s">
        <v>31</v>
      </c>
      <c r="E5" t="s">
        <v>30</v>
      </c>
      <c r="F5" t="s">
        <v>31</v>
      </c>
    </row>
    <row r="6" spans="1:6" x14ac:dyDescent="0.15">
      <c r="A6" s="29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</row>
    <row r="7" spans="1:6" x14ac:dyDescent="0.15">
      <c r="A7" s="29">
        <v>200</v>
      </c>
      <c r="B7" s="29">
        <f>A7</f>
        <v>200</v>
      </c>
      <c r="C7" s="29">
        <v>200</v>
      </c>
      <c r="D7" s="29">
        <f>C7</f>
        <v>200</v>
      </c>
      <c r="E7" s="29">
        <v>200</v>
      </c>
      <c r="F7" s="29">
        <f>E7</f>
        <v>200</v>
      </c>
    </row>
    <row r="8" spans="1:6" x14ac:dyDescent="0.15">
      <c r="A8" s="29">
        <v>200</v>
      </c>
      <c r="B8" s="29">
        <f>A8/2+100</f>
        <v>200</v>
      </c>
      <c r="C8" s="29">
        <v>200</v>
      </c>
      <c r="D8" s="29">
        <f>C8/2+100</f>
        <v>200</v>
      </c>
      <c r="E8" s="29">
        <v>200</v>
      </c>
      <c r="F8" s="29">
        <f>E8/2+100</f>
        <v>200</v>
      </c>
    </row>
    <row r="9" spans="1:6" x14ac:dyDescent="0.15">
      <c r="A9" s="29">
        <v>800</v>
      </c>
      <c r="B9" s="29">
        <f>A9/2+100</f>
        <v>500</v>
      </c>
      <c r="C9" s="29">
        <v>1200</v>
      </c>
      <c r="D9" s="29">
        <f>C9/2+100</f>
        <v>700</v>
      </c>
      <c r="E9" s="29">
        <v>1000</v>
      </c>
      <c r="F9" s="29">
        <f>E9/2+100</f>
        <v>600</v>
      </c>
    </row>
    <row r="10" spans="1:6" x14ac:dyDescent="0.15">
      <c r="A10" s="29">
        <v>800</v>
      </c>
      <c r="B10" s="29">
        <f>A10/4+300</f>
        <v>500</v>
      </c>
      <c r="C10" s="29">
        <v>1200</v>
      </c>
      <c r="D10" s="29">
        <f>C10/4+400</f>
        <v>700</v>
      </c>
      <c r="E10" s="29">
        <v>1000</v>
      </c>
      <c r="F10" s="29">
        <f>E10/5+400</f>
        <v>600</v>
      </c>
    </row>
    <row r="11" spans="1:6" x14ac:dyDescent="0.15">
      <c r="A11" s="29">
        <v>1600</v>
      </c>
      <c r="B11" s="29">
        <f>A11/4+300</f>
        <v>700</v>
      </c>
      <c r="C11" s="29">
        <v>2000</v>
      </c>
      <c r="D11" s="29">
        <f>C11/4+400</f>
        <v>900</v>
      </c>
      <c r="E11" s="29">
        <v>2000</v>
      </c>
      <c r="F11" s="29">
        <f>E11/5+400</f>
        <v>800</v>
      </c>
    </row>
    <row r="12" spans="1:6" x14ac:dyDescent="0.15">
      <c r="A12" s="29">
        <v>1600</v>
      </c>
      <c r="B12" s="29">
        <f>A12/8+500</f>
        <v>700</v>
      </c>
      <c r="C12" s="29">
        <v>2000</v>
      </c>
      <c r="D12" s="29">
        <f>C12/8+650</f>
        <v>900</v>
      </c>
      <c r="E12" s="29">
        <v>2000</v>
      </c>
      <c r="F12" s="29">
        <f>E12/10+600</f>
        <v>800</v>
      </c>
    </row>
    <row r="13" spans="1:6" x14ac:dyDescent="0.15">
      <c r="A13" s="29">
        <v>4000</v>
      </c>
      <c r="B13" s="29">
        <f>A13/8+500</f>
        <v>1000</v>
      </c>
      <c r="C13" s="29">
        <v>6000</v>
      </c>
      <c r="D13" s="29">
        <f>C13/8+650</f>
        <v>1400</v>
      </c>
      <c r="E13" s="29">
        <v>4000</v>
      </c>
      <c r="F13" s="29">
        <f>E13/10+600</f>
        <v>1000</v>
      </c>
    </row>
    <row r="14" spans="1:6" x14ac:dyDescent="0.15">
      <c r="A14" s="29">
        <v>4000</v>
      </c>
      <c r="B14" s="29">
        <v>1000</v>
      </c>
      <c r="C14" s="29"/>
      <c r="D14" s="29"/>
      <c r="E14" s="29">
        <v>4000</v>
      </c>
      <c r="F14" s="29">
        <f>E14/20+800</f>
        <v>1000</v>
      </c>
    </row>
    <row r="15" spans="1:6" x14ac:dyDescent="0.15">
      <c r="A15" s="29">
        <v>5000</v>
      </c>
      <c r="B15" s="29">
        <v>1000</v>
      </c>
      <c r="C15" s="29"/>
      <c r="D15" s="29"/>
      <c r="E15" s="29">
        <v>6000</v>
      </c>
      <c r="F15" s="29">
        <f>E15/20+800</f>
        <v>1100</v>
      </c>
    </row>
    <row r="19" spans="1:11" x14ac:dyDescent="0.15">
      <c r="A19" t="s">
        <v>37</v>
      </c>
      <c r="G19" t="s">
        <v>38</v>
      </c>
    </row>
    <row r="20" spans="1:11" x14ac:dyDescent="0.15">
      <c r="A20" s="1" t="s">
        <v>36</v>
      </c>
      <c r="C20">
        <v>10</v>
      </c>
      <c r="D20">
        <v>5</v>
      </c>
      <c r="E20">
        <v>1</v>
      </c>
      <c r="G20" s="1" t="s">
        <v>36</v>
      </c>
      <c r="I20">
        <v>10</v>
      </c>
      <c r="J20">
        <v>5</v>
      </c>
      <c r="K20">
        <v>1</v>
      </c>
    </row>
    <row r="21" spans="1:11" x14ac:dyDescent="0.15">
      <c r="A21" t="s">
        <v>33</v>
      </c>
      <c r="B21" t="s">
        <v>34</v>
      </c>
      <c r="C21" t="s">
        <v>35</v>
      </c>
      <c r="G21" t="s">
        <v>33</v>
      </c>
      <c r="H21" t="s">
        <v>34</v>
      </c>
      <c r="I21" t="s">
        <v>35</v>
      </c>
    </row>
    <row r="22" spans="1:11" x14ac:dyDescent="0.15">
      <c r="A22" s="29">
        <v>0</v>
      </c>
      <c r="B22" s="29">
        <v>0</v>
      </c>
      <c r="C22" s="30"/>
      <c r="G22" s="29">
        <v>0</v>
      </c>
      <c r="H22" s="29">
        <v>0</v>
      </c>
      <c r="I22" s="30"/>
    </row>
    <row r="23" spans="1:11" x14ac:dyDescent="0.15">
      <c r="A23" s="29">
        <v>1</v>
      </c>
      <c r="B23" s="29">
        <v>0</v>
      </c>
      <c r="C23" s="29">
        <f>1-($B23)/($A23)+1/C$20</f>
        <v>1.1000000000000001</v>
      </c>
      <c r="D23" s="29">
        <f t="shared" ref="D23:E29" si="0">1-($B23)/($A23)+1/D$20</f>
        <v>1.2</v>
      </c>
      <c r="E23" s="29"/>
      <c r="G23" s="29">
        <v>1</v>
      </c>
      <c r="H23" s="29">
        <v>0</v>
      </c>
      <c r="I23" s="29">
        <f>(1-($B23)/($A23)+1/I$20)^2</f>
        <v>1.2100000000000002</v>
      </c>
      <c r="J23" s="29">
        <f t="shared" ref="I23:K35" si="1">(1-($B23)/($A23)+1/J$20)^2</f>
        <v>1.44</v>
      </c>
      <c r="K23" s="29"/>
    </row>
    <row r="24" spans="1:11" x14ac:dyDescent="0.15">
      <c r="A24" s="29">
        <v>1</v>
      </c>
      <c r="B24" s="29">
        <v>1</v>
      </c>
      <c r="C24" s="31">
        <f>1-($B24)/($A24)+1/C$20</f>
        <v>0.1</v>
      </c>
      <c r="D24" s="31">
        <f t="shared" si="0"/>
        <v>0.2</v>
      </c>
      <c r="E24" s="29">
        <f t="shared" si="0"/>
        <v>1</v>
      </c>
      <c r="G24" s="29">
        <v>1</v>
      </c>
      <c r="H24" s="29">
        <v>1</v>
      </c>
      <c r="I24" s="31">
        <f t="shared" si="1"/>
        <v>1.0000000000000002E-2</v>
      </c>
      <c r="J24" s="31">
        <f t="shared" si="1"/>
        <v>4.0000000000000008E-2</v>
      </c>
      <c r="K24" s="29">
        <f t="shared" si="1"/>
        <v>1</v>
      </c>
    </row>
    <row r="25" spans="1:11" x14ac:dyDescent="0.15">
      <c r="A25" s="29">
        <v>10</v>
      </c>
      <c r="B25" s="29">
        <v>0</v>
      </c>
      <c r="C25" s="29">
        <f t="shared" ref="C25:D27" si="2">1-($B25)/($A25)+1/C$20</f>
        <v>1.1000000000000001</v>
      </c>
      <c r="D25" s="29">
        <f t="shared" si="2"/>
        <v>1.2</v>
      </c>
      <c r="E25" s="29"/>
      <c r="G25" s="29">
        <v>10</v>
      </c>
      <c r="H25" s="29">
        <v>0</v>
      </c>
      <c r="I25" s="29">
        <f t="shared" si="1"/>
        <v>1.2100000000000002</v>
      </c>
      <c r="J25" s="29">
        <f t="shared" si="1"/>
        <v>1.44</v>
      </c>
      <c r="K25" s="29"/>
    </row>
    <row r="26" spans="1:11" x14ac:dyDescent="0.15">
      <c r="A26" s="29">
        <v>10</v>
      </c>
      <c r="B26" s="29">
        <v>1</v>
      </c>
      <c r="C26" s="29">
        <f t="shared" si="2"/>
        <v>1</v>
      </c>
      <c r="D26" s="29">
        <f t="shared" si="2"/>
        <v>1.1000000000000001</v>
      </c>
      <c r="E26" s="29"/>
      <c r="G26" s="29">
        <v>10</v>
      </c>
      <c r="H26" s="29">
        <v>1</v>
      </c>
      <c r="I26" s="29">
        <f t="shared" si="1"/>
        <v>1</v>
      </c>
      <c r="J26" s="29">
        <f t="shared" si="1"/>
        <v>1.2100000000000002</v>
      </c>
      <c r="K26" s="29"/>
    </row>
    <row r="27" spans="1:11" x14ac:dyDescent="0.15">
      <c r="A27" s="29">
        <v>10</v>
      </c>
      <c r="B27" s="29">
        <v>5</v>
      </c>
      <c r="C27" s="29">
        <f t="shared" si="2"/>
        <v>0.6</v>
      </c>
      <c r="D27" s="29">
        <f t="shared" si="2"/>
        <v>0.7</v>
      </c>
      <c r="E27" s="29"/>
      <c r="G27" s="29">
        <v>10</v>
      </c>
      <c r="H27" s="29">
        <v>5</v>
      </c>
      <c r="I27" s="29">
        <f t="shared" si="1"/>
        <v>0.36</v>
      </c>
      <c r="J27" s="29">
        <f t="shared" si="1"/>
        <v>0.48999999999999994</v>
      </c>
      <c r="K27" s="29"/>
    </row>
    <row r="28" spans="1:11" x14ac:dyDescent="0.15">
      <c r="A28" s="29">
        <v>10</v>
      </c>
      <c r="B28" s="29">
        <v>10</v>
      </c>
      <c r="C28" s="29">
        <f>1-($B28)/($A28)+1/C$20</f>
        <v>0.1</v>
      </c>
      <c r="D28" s="29">
        <f>1-($B28)/($A28)+1/D$20</f>
        <v>0.2</v>
      </c>
      <c r="E28" s="29"/>
      <c r="G28" s="29">
        <v>10</v>
      </c>
      <c r="H28" s="29">
        <v>10</v>
      </c>
      <c r="I28" s="29">
        <f t="shared" si="1"/>
        <v>1.0000000000000002E-2</v>
      </c>
      <c r="J28" s="29">
        <f t="shared" si="1"/>
        <v>4.0000000000000008E-2</v>
      </c>
      <c r="K28" s="29"/>
    </row>
    <row r="29" spans="1:11" x14ac:dyDescent="0.15">
      <c r="A29" s="29">
        <v>100</v>
      </c>
      <c r="B29" s="29">
        <v>1</v>
      </c>
      <c r="C29" s="29">
        <f>1-($B29)/($A29)+1/C$20</f>
        <v>1.0900000000000001</v>
      </c>
      <c r="D29" s="29">
        <f t="shared" si="0"/>
        <v>1.19</v>
      </c>
      <c r="E29" s="29"/>
      <c r="G29" s="29">
        <v>100</v>
      </c>
      <c r="H29" s="29">
        <v>1</v>
      </c>
      <c r="I29" s="29">
        <f t="shared" si="1"/>
        <v>1.1881000000000002</v>
      </c>
      <c r="J29" s="29">
        <f t="shared" si="1"/>
        <v>1.4160999999999999</v>
      </c>
      <c r="K29" s="29"/>
    </row>
    <row r="30" spans="1:11" x14ac:dyDescent="0.15">
      <c r="A30" s="29">
        <v>100</v>
      </c>
      <c r="B30" s="29">
        <v>10</v>
      </c>
      <c r="C30" s="29">
        <f t="shared" ref="C30:E35" si="3">1-($B30)/($A30)+1/C$20</f>
        <v>1</v>
      </c>
      <c r="D30" s="29">
        <f t="shared" si="3"/>
        <v>1.1000000000000001</v>
      </c>
      <c r="E30" s="29"/>
      <c r="G30" s="29">
        <v>100</v>
      </c>
      <c r="H30" s="29">
        <v>10</v>
      </c>
      <c r="I30" s="29">
        <f t="shared" si="1"/>
        <v>1</v>
      </c>
      <c r="J30" s="29">
        <f t="shared" si="1"/>
        <v>1.2100000000000002</v>
      </c>
      <c r="K30" s="29"/>
    </row>
    <row r="31" spans="1:11" x14ac:dyDescent="0.15">
      <c r="A31" s="29">
        <v>100</v>
      </c>
      <c r="B31" s="29">
        <v>20</v>
      </c>
      <c r="C31" s="29">
        <f t="shared" si="3"/>
        <v>0.9</v>
      </c>
      <c r="D31" s="29">
        <f t="shared" si="3"/>
        <v>1</v>
      </c>
      <c r="E31" s="29"/>
      <c r="G31" s="29">
        <v>100</v>
      </c>
      <c r="H31" s="29">
        <v>20</v>
      </c>
      <c r="I31" s="29">
        <f t="shared" si="1"/>
        <v>0.81</v>
      </c>
      <c r="J31" s="29">
        <f t="shared" si="1"/>
        <v>1</v>
      </c>
      <c r="K31" s="29"/>
    </row>
    <row r="32" spans="1:11" x14ac:dyDescent="0.15">
      <c r="A32" s="29">
        <v>100</v>
      </c>
      <c r="B32" s="29">
        <v>50</v>
      </c>
      <c r="C32" s="29">
        <f t="shared" si="3"/>
        <v>0.6</v>
      </c>
      <c r="D32" s="29">
        <f t="shared" si="3"/>
        <v>0.7</v>
      </c>
      <c r="E32" s="29"/>
      <c r="G32" s="29">
        <v>100</v>
      </c>
      <c r="H32" s="29">
        <v>50</v>
      </c>
      <c r="I32" s="29">
        <f t="shared" si="1"/>
        <v>0.36</v>
      </c>
      <c r="J32" s="29">
        <f t="shared" si="1"/>
        <v>0.48999999999999994</v>
      </c>
      <c r="K32" s="29"/>
    </row>
    <row r="33" spans="1:11" x14ac:dyDescent="0.15">
      <c r="A33" s="29">
        <v>100</v>
      </c>
      <c r="B33" s="29">
        <v>90</v>
      </c>
      <c r="C33" s="29">
        <f t="shared" si="3"/>
        <v>0.19999999999999998</v>
      </c>
      <c r="D33" s="29">
        <f t="shared" si="3"/>
        <v>0.3</v>
      </c>
      <c r="E33" s="29"/>
      <c r="G33" s="29">
        <v>100</v>
      </c>
      <c r="H33" s="29">
        <v>90</v>
      </c>
      <c r="I33" s="29">
        <f t="shared" si="1"/>
        <v>3.9999999999999994E-2</v>
      </c>
      <c r="J33" s="29">
        <f t="shared" si="1"/>
        <v>0.09</v>
      </c>
      <c r="K33" s="29"/>
    </row>
    <row r="34" spans="1:11" x14ac:dyDescent="0.15">
      <c r="A34" s="29">
        <v>100</v>
      </c>
      <c r="B34" s="29">
        <v>99</v>
      </c>
      <c r="C34" s="29">
        <f t="shared" si="3"/>
        <v>0.11000000000000001</v>
      </c>
      <c r="D34" s="29">
        <f t="shared" si="3"/>
        <v>0.21000000000000002</v>
      </c>
      <c r="E34" s="29"/>
      <c r="G34" s="29">
        <v>100</v>
      </c>
      <c r="H34" s="29">
        <v>99</v>
      </c>
      <c r="I34" s="29">
        <f t="shared" si="1"/>
        <v>1.2100000000000003E-2</v>
      </c>
      <c r="J34" s="29">
        <f t="shared" si="1"/>
        <v>4.4100000000000007E-2</v>
      </c>
      <c r="K34" s="29"/>
    </row>
    <row r="35" spans="1:11" x14ac:dyDescent="0.15">
      <c r="A35" s="29">
        <v>100</v>
      </c>
      <c r="B35" s="29">
        <v>100</v>
      </c>
      <c r="C35" s="29">
        <f t="shared" si="3"/>
        <v>0.1</v>
      </c>
      <c r="D35" s="29">
        <f t="shared" si="3"/>
        <v>0.2</v>
      </c>
      <c r="E35" s="29">
        <f t="shared" si="3"/>
        <v>1</v>
      </c>
      <c r="G35" s="29">
        <v>100</v>
      </c>
      <c r="H35" s="29">
        <v>100</v>
      </c>
      <c r="I35" s="29">
        <f t="shared" si="1"/>
        <v>1.0000000000000002E-2</v>
      </c>
      <c r="J35" s="29">
        <f t="shared" si="1"/>
        <v>4.0000000000000008E-2</v>
      </c>
      <c r="K35" s="29">
        <f t="shared" si="1"/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2022-12-03T13:05:57Z</dcterms:modified>
</cp:coreProperties>
</file>