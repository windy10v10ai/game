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develop\windy10v10ai\.tool\"/>
    </mc:Choice>
  </mc:AlternateContent>
  <bookViews>
    <workbookView xWindow="0" yWindow="0" windowWidth="18975" windowHeight="7650" activeTab="3"/>
  </bookViews>
  <sheets>
    <sheet name="xp" sheetId="1" r:id="rId1"/>
    <sheet name="killXP" sheetId="3" r:id="rId2"/>
    <sheet name="respawntime" sheetId="2" r:id="rId3"/>
    <sheet name="killgold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4" l="1"/>
  <c r="F12" i="4"/>
  <c r="F9" i="4"/>
  <c r="F8" i="4"/>
  <c r="F7" i="4"/>
  <c r="F11" i="4"/>
  <c r="F10" i="4"/>
  <c r="D12" i="4" l="1"/>
  <c r="D13" i="4"/>
  <c r="D11" i="4"/>
  <c r="D10" i="4"/>
  <c r="D9" i="4"/>
  <c r="D8" i="4"/>
  <c r="D7" i="4"/>
  <c r="B10" i="4"/>
  <c r="B9" i="4"/>
  <c r="B7" i="4"/>
  <c r="B8" i="4"/>
  <c r="C8" i="3" l="1"/>
  <c r="E8" i="3" s="1"/>
  <c r="C7" i="3"/>
  <c r="E7" i="3" s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33" i="1"/>
  <c r="H4" i="1"/>
  <c r="H5" i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C36" i="3" s="1"/>
  <c r="E36" i="3" s="1"/>
  <c r="B7" i="3"/>
  <c r="BA6" i="2"/>
  <c r="BA7" i="2" s="1"/>
  <c r="AZ6" i="2"/>
  <c r="AZ7" i="2" s="1"/>
  <c r="BA5" i="2" l="1"/>
  <c r="AZ5" i="2"/>
  <c r="C31" i="3"/>
  <c r="E31" i="3" s="1"/>
  <c r="C30" i="3"/>
  <c r="E30" i="3" s="1"/>
  <c r="C24" i="3"/>
  <c r="E24" i="3" s="1"/>
  <c r="C15" i="3"/>
  <c r="E15" i="3" s="1"/>
  <c r="C23" i="3"/>
  <c r="E23" i="3" s="1"/>
  <c r="C22" i="3"/>
  <c r="E22" i="3" s="1"/>
  <c r="C16" i="3"/>
  <c r="E16" i="3" s="1"/>
  <c r="C32" i="3"/>
  <c r="E32" i="3" s="1"/>
  <c r="C14" i="3"/>
  <c r="E14" i="3" s="1"/>
  <c r="C28" i="3"/>
  <c r="E28" i="3" s="1"/>
  <c r="C20" i="3"/>
  <c r="E20" i="3" s="1"/>
  <c r="C12" i="3"/>
  <c r="E12" i="3" s="1"/>
  <c r="C21" i="3"/>
  <c r="E21" i="3" s="1"/>
  <c r="C35" i="3"/>
  <c r="E35" i="3" s="1"/>
  <c r="C27" i="3"/>
  <c r="E27" i="3" s="1"/>
  <c r="C19" i="3"/>
  <c r="E19" i="3" s="1"/>
  <c r="C11" i="3"/>
  <c r="E11" i="3" s="1"/>
  <c r="C13" i="3"/>
  <c r="E13" i="3" s="1"/>
  <c r="C34" i="3"/>
  <c r="E34" i="3" s="1"/>
  <c r="C26" i="3"/>
  <c r="E26" i="3" s="1"/>
  <c r="C18" i="3"/>
  <c r="E18" i="3" s="1"/>
  <c r="C10" i="3"/>
  <c r="E10" i="3" s="1"/>
  <c r="C29" i="3"/>
  <c r="E29" i="3" s="1"/>
  <c r="C33" i="3"/>
  <c r="E33" i="3" s="1"/>
  <c r="C25" i="3"/>
  <c r="E25" i="3" s="1"/>
  <c r="C17" i="3"/>
  <c r="E17" i="3" s="1"/>
  <c r="C9" i="3"/>
  <c r="E9" i="3" s="1"/>
  <c r="H33" i="1"/>
  <c r="AQ5" i="2"/>
  <c r="AR7" i="2"/>
  <c r="AT7" i="2"/>
  <c r="AU7" i="2"/>
  <c r="AV5" i="2"/>
  <c r="AW7" i="2"/>
  <c r="AX7" i="2"/>
  <c r="AY5" i="2"/>
  <c r="AP7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AH5" i="2"/>
  <c r="AI5" i="2"/>
  <c r="AJ5" i="2"/>
  <c r="AK5" i="2"/>
  <c r="AL5" i="2"/>
  <c r="AM5" i="2"/>
  <c r="AN5" i="2"/>
  <c r="AO5" i="2"/>
  <c r="AS5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AH7" i="2"/>
  <c r="AI7" i="2"/>
  <c r="AJ7" i="2"/>
  <c r="AK7" i="2"/>
  <c r="AL7" i="2"/>
  <c r="AM7" i="2"/>
  <c r="AN7" i="2"/>
  <c r="AO7" i="2"/>
  <c r="AS7" i="2"/>
  <c r="B5" i="2"/>
  <c r="B7" i="2"/>
  <c r="H34" i="1" l="1"/>
  <c r="C37" i="3"/>
  <c r="E37" i="3" s="1"/>
  <c r="AV7" i="2"/>
  <c r="AU5" i="2"/>
  <c r="AT5" i="2"/>
  <c r="AW5" i="2"/>
  <c r="AR5" i="2"/>
  <c r="AX5" i="2"/>
  <c r="AY7" i="2"/>
  <c r="AQ7" i="2"/>
  <c r="AP5" i="2"/>
  <c r="H35" i="1" l="1"/>
  <c r="C38" i="3"/>
  <c r="E38" i="3" s="1"/>
  <c r="D7" i="3"/>
  <c r="I3" i="1"/>
  <c r="H36" i="1" l="1"/>
  <c r="C39" i="3"/>
  <c r="E39" i="3" s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H37" i="1" l="1"/>
  <c r="C40" i="3"/>
  <c r="E40" i="3" s="1"/>
  <c r="C5" i="1"/>
  <c r="E5" i="1" s="1"/>
  <c r="C6" i="1"/>
  <c r="E6" i="1" s="1"/>
  <c r="C7" i="1"/>
  <c r="E7" i="1" s="1"/>
  <c r="C8" i="1"/>
  <c r="E8" i="1" s="1"/>
  <c r="C9" i="1"/>
  <c r="E9" i="1" s="1"/>
  <c r="C10" i="1"/>
  <c r="E10" i="1" s="1"/>
  <c r="C11" i="1"/>
  <c r="E11" i="1" s="1"/>
  <c r="C12" i="1"/>
  <c r="E12" i="1" s="1"/>
  <c r="C13" i="1"/>
  <c r="E13" i="1" s="1"/>
  <c r="C14" i="1"/>
  <c r="E14" i="1" s="1"/>
  <c r="C15" i="1"/>
  <c r="E15" i="1" s="1"/>
  <c r="C16" i="1"/>
  <c r="E16" i="1" s="1"/>
  <c r="C17" i="1"/>
  <c r="E17" i="1" s="1"/>
  <c r="C18" i="1"/>
  <c r="E18" i="1" s="1"/>
  <c r="C19" i="1"/>
  <c r="E19" i="1" s="1"/>
  <c r="C20" i="1"/>
  <c r="E20" i="1" s="1"/>
  <c r="C21" i="1"/>
  <c r="E21" i="1" s="1"/>
  <c r="C22" i="1"/>
  <c r="E22" i="1" s="1"/>
  <c r="C23" i="1"/>
  <c r="E23" i="1" s="1"/>
  <c r="C24" i="1"/>
  <c r="E24" i="1" s="1"/>
  <c r="C25" i="1"/>
  <c r="E25" i="1" s="1"/>
  <c r="C26" i="1"/>
  <c r="E26" i="1" s="1"/>
  <c r="C27" i="1"/>
  <c r="E27" i="1" s="1"/>
  <c r="C28" i="1"/>
  <c r="E28" i="1" s="1"/>
  <c r="C29" i="1"/>
  <c r="E29" i="1" s="1"/>
  <c r="C30" i="1"/>
  <c r="E30" i="1" s="1"/>
  <c r="C31" i="1"/>
  <c r="E31" i="1" s="1"/>
  <c r="C32" i="1"/>
  <c r="E32" i="1" s="1"/>
  <c r="C4" i="1"/>
  <c r="E4" i="1" s="1"/>
  <c r="H38" i="1" l="1"/>
  <c r="C41" i="3"/>
  <c r="E41" i="3" s="1"/>
  <c r="G4" i="1"/>
  <c r="J3" i="1"/>
  <c r="H39" i="1" l="1"/>
  <c r="C42" i="3"/>
  <c r="E42" i="3" s="1"/>
  <c r="B8" i="3"/>
  <c r="D8" i="3" s="1"/>
  <c r="I4" i="1"/>
  <c r="J4" i="1" s="1"/>
  <c r="G5" i="1"/>
  <c r="H40" i="1" l="1"/>
  <c r="C43" i="3"/>
  <c r="E43" i="3" s="1"/>
  <c r="G6" i="1"/>
  <c r="B9" i="3"/>
  <c r="D9" i="3" s="1"/>
  <c r="I5" i="1"/>
  <c r="J5" i="1" s="1"/>
  <c r="H41" i="1" l="1"/>
  <c r="C44" i="3"/>
  <c r="E44" i="3" s="1"/>
  <c r="B10" i="3"/>
  <c r="D10" i="3" s="1"/>
  <c r="I6" i="1"/>
  <c r="J6" i="1" s="1"/>
  <c r="G7" i="1"/>
  <c r="G8" i="1" s="1"/>
  <c r="H42" i="1" l="1"/>
  <c r="C45" i="3"/>
  <c r="E45" i="3" s="1"/>
  <c r="B12" i="3"/>
  <c r="D12" i="3" s="1"/>
  <c r="I8" i="1"/>
  <c r="J8" i="1" s="1"/>
  <c r="B11" i="3"/>
  <c r="D11" i="3" s="1"/>
  <c r="I7" i="1"/>
  <c r="J7" i="1" s="1"/>
  <c r="G9" i="1"/>
  <c r="H43" i="1" l="1"/>
  <c r="C46" i="3"/>
  <c r="E46" i="3" s="1"/>
  <c r="B13" i="3"/>
  <c r="D13" i="3" s="1"/>
  <c r="I9" i="1"/>
  <c r="J9" i="1" s="1"/>
  <c r="G10" i="1"/>
  <c r="H44" i="1" l="1"/>
  <c r="C47" i="3"/>
  <c r="E47" i="3" s="1"/>
  <c r="B14" i="3"/>
  <c r="D14" i="3" s="1"/>
  <c r="I10" i="1"/>
  <c r="G11" i="1"/>
  <c r="J10" i="1"/>
  <c r="H45" i="1" l="1"/>
  <c r="C48" i="3"/>
  <c r="E48" i="3" s="1"/>
  <c r="B15" i="3"/>
  <c r="D15" i="3" s="1"/>
  <c r="I11" i="1"/>
  <c r="G12" i="1"/>
  <c r="J11" i="1"/>
  <c r="H46" i="1" l="1"/>
  <c r="C49" i="3"/>
  <c r="E49" i="3" s="1"/>
  <c r="B16" i="3"/>
  <c r="D16" i="3" s="1"/>
  <c r="I12" i="1"/>
  <c r="G13" i="1"/>
  <c r="J12" i="1"/>
  <c r="H47" i="1" l="1"/>
  <c r="C50" i="3"/>
  <c r="E50" i="3" s="1"/>
  <c r="B17" i="3"/>
  <c r="D17" i="3" s="1"/>
  <c r="I13" i="1"/>
  <c r="J13" i="1" s="1"/>
  <c r="G14" i="1"/>
  <c r="H48" i="1" l="1"/>
  <c r="C51" i="3"/>
  <c r="E51" i="3" s="1"/>
  <c r="B18" i="3"/>
  <c r="D18" i="3" s="1"/>
  <c r="I14" i="1"/>
  <c r="G15" i="1"/>
  <c r="J14" i="1"/>
  <c r="H49" i="1" l="1"/>
  <c r="C52" i="3"/>
  <c r="E52" i="3" s="1"/>
  <c r="B19" i="3"/>
  <c r="D19" i="3" s="1"/>
  <c r="I15" i="1"/>
  <c r="G16" i="1"/>
  <c r="J15" i="1"/>
  <c r="H50" i="1" l="1"/>
  <c r="C53" i="3"/>
  <c r="E53" i="3" s="1"/>
  <c r="B20" i="3"/>
  <c r="D20" i="3" s="1"/>
  <c r="I16" i="1"/>
  <c r="J16" i="1" s="1"/>
  <c r="G17" i="1"/>
  <c r="H51" i="1" l="1"/>
  <c r="C54" i="3"/>
  <c r="E54" i="3" s="1"/>
  <c r="B21" i="3"/>
  <c r="D21" i="3" s="1"/>
  <c r="I17" i="1"/>
  <c r="G18" i="1"/>
  <c r="J17" i="1"/>
  <c r="H52" i="1" l="1"/>
  <c r="C55" i="3"/>
  <c r="E55" i="3" s="1"/>
  <c r="B22" i="3"/>
  <c r="D22" i="3" s="1"/>
  <c r="I18" i="1"/>
  <c r="G19" i="1"/>
  <c r="J18" i="1"/>
  <c r="H53" i="1" l="1"/>
  <c r="C56" i="3"/>
  <c r="G13" i="3" s="1"/>
  <c r="B23" i="3"/>
  <c r="D23" i="3" s="1"/>
  <c r="I19" i="1"/>
  <c r="G20" i="1"/>
  <c r="J19" i="1"/>
  <c r="G21" i="3" l="1"/>
  <c r="G29" i="3"/>
  <c r="G37" i="3"/>
  <c r="G45" i="3"/>
  <c r="G53" i="3"/>
  <c r="G61" i="3"/>
  <c r="G69" i="3"/>
  <c r="G77" i="3"/>
  <c r="G85" i="3"/>
  <c r="G93" i="3"/>
  <c r="G101" i="3"/>
  <c r="G18" i="3"/>
  <c r="G82" i="3"/>
  <c r="G43" i="3"/>
  <c r="G52" i="3"/>
  <c r="G14" i="3"/>
  <c r="G22" i="3"/>
  <c r="G30" i="3"/>
  <c r="G38" i="3"/>
  <c r="G46" i="3"/>
  <c r="G54" i="3"/>
  <c r="G62" i="3"/>
  <c r="G70" i="3"/>
  <c r="G78" i="3"/>
  <c r="G86" i="3"/>
  <c r="G94" i="3"/>
  <c r="G102" i="3"/>
  <c r="G42" i="3"/>
  <c r="G58" i="3"/>
  <c r="G74" i="3"/>
  <c r="G98" i="3"/>
  <c r="G27" i="3"/>
  <c r="G67" i="3"/>
  <c r="G83" i="3"/>
  <c r="G99" i="3"/>
  <c r="E56" i="3"/>
  <c r="G20" i="3"/>
  <c r="G68" i="3"/>
  <c r="G84" i="3"/>
  <c r="G15" i="3"/>
  <c r="G23" i="3"/>
  <c r="G31" i="3"/>
  <c r="G39" i="3"/>
  <c r="G47" i="3"/>
  <c r="G55" i="3"/>
  <c r="G63" i="3"/>
  <c r="G71" i="3"/>
  <c r="G79" i="3"/>
  <c r="G87" i="3"/>
  <c r="G95" i="3"/>
  <c r="G103" i="3"/>
  <c r="G19" i="3"/>
  <c r="G36" i="3"/>
  <c r="G100" i="3"/>
  <c r="G16" i="3"/>
  <c r="G24" i="3"/>
  <c r="G32" i="3"/>
  <c r="G40" i="3"/>
  <c r="G48" i="3"/>
  <c r="G56" i="3"/>
  <c r="G64" i="3"/>
  <c r="G72" i="3"/>
  <c r="G80" i="3"/>
  <c r="G88" i="3"/>
  <c r="G96" i="3"/>
  <c r="G104" i="3"/>
  <c r="G34" i="3"/>
  <c r="G12" i="3"/>
  <c r="G51" i="3"/>
  <c r="G44" i="3"/>
  <c r="G17" i="3"/>
  <c r="G25" i="3"/>
  <c r="G33" i="3"/>
  <c r="G41" i="3"/>
  <c r="G49" i="3"/>
  <c r="G57" i="3"/>
  <c r="G65" i="3"/>
  <c r="G73" i="3"/>
  <c r="G81" i="3"/>
  <c r="G89" i="3"/>
  <c r="G97" i="3"/>
  <c r="G105" i="3"/>
  <c r="G26" i="3"/>
  <c r="G50" i="3"/>
  <c r="G66" i="3"/>
  <c r="G90" i="3"/>
  <c r="G35" i="3"/>
  <c r="G59" i="3"/>
  <c r="G75" i="3"/>
  <c r="G91" i="3"/>
  <c r="G28" i="3"/>
  <c r="G60" i="3"/>
  <c r="G76" i="3"/>
  <c r="G92" i="3"/>
  <c r="H54" i="1"/>
  <c r="C57" i="3"/>
  <c r="E57" i="3" s="1"/>
  <c r="B24" i="3"/>
  <c r="D24" i="3" s="1"/>
  <c r="I20" i="1"/>
  <c r="G21" i="1"/>
  <c r="J20" i="1"/>
  <c r="H55" i="1" l="1"/>
  <c r="C58" i="3"/>
  <c r="E58" i="3" s="1"/>
  <c r="B25" i="3"/>
  <c r="D25" i="3" s="1"/>
  <c r="I21" i="1"/>
  <c r="G22" i="1"/>
  <c r="J21" i="1"/>
  <c r="H56" i="1" l="1"/>
  <c r="C59" i="3"/>
  <c r="E59" i="3" s="1"/>
  <c r="B26" i="3"/>
  <c r="D26" i="3" s="1"/>
  <c r="I22" i="1"/>
  <c r="G23" i="1"/>
  <c r="J22" i="1"/>
  <c r="H57" i="1" l="1"/>
  <c r="C60" i="3"/>
  <c r="E60" i="3" s="1"/>
  <c r="B27" i="3"/>
  <c r="D27" i="3" s="1"/>
  <c r="I23" i="1"/>
  <c r="G24" i="1"/>
  <c r="J23" i="1"/>
  <c r="H58" i="1" l="1"/>
  <c r="C61" i="3"/>
  <c r="E61" i="3" s="1"/>
  <c r="B28" i="3"/>
  <c r="D28" i="3" s="1"/>
  <c r="I24" i="1"/>
  <c r="J24" i="1" s="1"/>
  <c r="G25" i="1"/>
  <c r="H59" i="1" l="1"/>
  <c r="C62" i="3"/>
  <c r="E62" i="3" s="1"/>
  <c r="B29" i="3"/>
  <c r="D29" i="3" s="1"/>
  <c r="I25" i="1"/>
  <c r="G26" i="1"/>
  <c r="J25" i="1"/>
  <c r="H60" i="1" l="1"/>
  <c r="C63" i="3"/>
  <c r="E63" i="3" s="1"/>
  <c r="B30" i="3"/>
  <c r="D30" i="3" s="1"/>
  <c r="I26" i="1"/>
  <c r="J26" i="1" s="1"/>
  <c r="G27" i="1"/>
  <c r="H61" i="1" l="1"/>
  <c r="C64" i="3"/>
  <c r="E64" i="3" s="1"/>
  <c r="B31" i="3"/>
  <c r="D31" i="3" s="1"/>
  <c r="I27" i="1"/>
  <c r="J27" i="1" s="1"/>
  <c r="G28" i="1"/>
  <c r="H62" i="1" l="1"/>
  <c r="C65" i="3"/>
  <c r="E65" i="3" s="1"/>
  <c r="B32" i="3"/>
  <c r="D32" i="3" s="1"/>
  <c r="I28" i="1"/>
  <c r="J28" i="1" s="1"/>
  <c r="G29" i="1"/>
  <c r="H63" i="1" l="1"/>
  <c r="C66" i="3"/>
  <c r="E66" i="3" s="1"/>
  <c r="B33" i="3"/>
  <c r="D33" i="3" s="1"/>
  <c r="I29" i="1"/>
  <c r="J29" i="1" s="1"/>
  <c r="G30" i="1"/>
  <c r="H64" i="1" l="1"/>
  <c r="C67" i="3"/>
  <c r="E67" i="3" s="1"/>
  <c r="B34" i="3"/>
  <c r="D34" i="3" s="1"/>
  <c r="I30" i="1"/>
  <c r="J30" i="1" s="1"/>
  <c r="G31" i="1"/>
  <c r="H65" i="1" l="1"/>
  <c r="C68" i="3"/>
  <c r="E68" i="3" s="1"/>
  <c r="B35" i="3"/>
  <c r="D35" i="3" s="1"/>
  <c r="I31" i="1"/>
  <c r="J31" i="1" s="1"/>
  <c r="G32" i="1"/>
  <c r="H66" i="1" l="1"/>
  <c r="C69" i="3"/>
  <c r="E69" i="3" s="1"/>
  <c r="B36" i="3"/>
  <c r="D36" i="3" s="1"/>
  <c r="I32" i="1"/>
  <c r="G33" i="1"/>
  <c r="J32" i="1"/>
  <c r="H67" i="1" l="1"/>
  <c r="C70" i="3"/>
  <c r="E70" i="3" s="1"/>
  <c r="B37" i="3"/>
  <c r="D37" i="3" s="1"/>
  <c r="I33" i="1"/>
  <c r="G34" i="1"/>
  <c r="J33" i="1"/>
  <c r="H68" i="1" l="1"/>
  <c r="C71" i="3"/>
  <c r="E71" i="3" s="1"/>
  <c r="B38" i="3"/>
  <c r="D38" i="3" s="1"/>
  <c r="I34" i="1"/>
  <c r="G35" i="1"/>
  <c r="J34" i="1"/>
  <c r="H69" i="1" l="1"/>
  <c r="C72" i="3"/>
  <c r="E72" i="3" s="1"/>
  <c r="B39" i="3"/>
  <c r="D39" i="3" s="1"/>
  <c r="I35" i="1"/>
  <c r="G36" i="1"/>
  <c r="J35" i="1"/>
  <c r="H70" i="1" l="1"/>
  <c r="C73" i="3"/>
  <c r="E73" i="3" s="1"/>
  <c r="B40" i="3"/>
  <c r="D40" i="3" s="1"/>
  <c r="I36" i="1"/>
  <c r="G37" i="1"/>
  <c r="J36" i="1"/>
  <c r="H71" i="1" l="1"/>
  <c r="C74" i="3"/>
  <c r="E74" i="3" s="1"/>
  <c r="B41" i="3"/>
  <c r="D41" i="3" s="1"/>
  <c r="I37" i="1"/>
  <c r="G38" i="1"/>
  <c r="J37" i="1"/>
  <c r="H72" i="1" l="1"/>
  <c r="C75" i="3"/>
  <c r="E75" i="3" s="1"/>
  <c r="B42" i="3"/>
  <c r="D42" i="3" s="1"/>
  <c r="I38" i="1"/>
  <c r="J38" i="1" s="1"/>
  <c r="G39" i="1"/>
  <c r="H73" i="1" l="1"/>
  <c r="C76" i="3"/>
  <c r="E76" i="3" s="1"/>
  <c r="B43" i="3"/>
  <c r="D43" i="3" s="1"/>
  <c r="I39" i="1"/>
  <c r="G40" i="1"/>
  <c r="J39" i="1"/>
  <c r="H74" i="1" l="1"/>
  <c r="C77" i="3"/>
  <c r="E77" i="3" s="1"/>
  <c r="B44" i="3"/>
  <c r="D44" i="3" s="1"/>
  <c r="I40" i="1"/>
  <c r="G41" i="1"/>
  <c r="J40" i="1"/>
  <c r="H75" i="1" l="1"/>
  <c r="C78" i="3"/>
  <c r="E78" i="3" s="1"/>
  <c r="B45" i="3"/>
  <c r="D45" i="3" s="1"/>
  <c r="I41" i="1"/>
  <c r="G42" i="1"/>
  <c r="J41" i="1"/>
  <c r="H76" i="1" l="1"/>
  <c r="C79" i="3"/>
  <c r="E79" i="3" s="1"/>
  <c r="B46" i="3"/>
  <c r="D46" i="3" s="1"/>
  <c r="I42" i="1"/>
  <c r="G43" i="1"/>
  <c r="J42" i="1"/>
  <c r="H77" i="1" l="1"/>
  <c r="C80" i="3"/>
  <c r="E80" i="3" s="1"/>
  <c r="B47" i="3"/>
  <c r="D47" i="3" s="1"/>
  <c r="I43" i="1"/>
  <c r="G44" i="1"/>
  <c r="J43" i="1"/>
  <c r="H78" i="1" l="1"/>
  <c r="C81" i="3"/>
  <c r="E81" i="3" s="1"/>
  <c r="B48" i="3"/>
  <c r="D48" i="3" s="1"/>
  <c r="I44" i="1"/>
  <c r="G45" i="1"/>
  <c r="J44" i="1"/>
  <c r="H79" i="1" l="1"/>
  <c r="C82" i="3"/>
  <c r="E82" i="3" s="1"/>
  <c r="B49" i="3"/>
  <c r="D49" i="3" s="1"/>
  <c r="I45" i="1"/>
  <c r="G46" i="1"/>
  <c r="J45" i="1"/>
  <c r="H80" i="1" l="1"/>
  <c r="C83" i="3"/>
  <c r="E83" i="3" s="1"/>
  <c r="B50" i="3"/>
  <c r="D50" i="3" s="1"/>
  <c r="I46" i="1"/>
  <c r="G47" i="1"/>
  <c r="J46" i="1"/>
  <c r="H81" i="1" l="1"/>
  <c r="C84" i="3"/>
  <c r="E84" i="3" s="1"/>
  <c r="B51" i="3"/>
  <c r="D51" i="3" s="1"/>
  <c r="I47" i="1"/>
  <c r="G48" i="1"/>
  <c r="J47" i="1"/>
  <c r="H82" i="1" l="1"/>
  <c r="C85" i="3"/>
  <c r="E85" i="3" s="1"/>
  <c r="B52" i="3"/>
  <c r="D52" i="3" s="1"/>
  <c r="I48" i="1"/>
  <c r="G49" i="1"/>
  <c r="J48" i="1"/>
  <c r="H83" i="1" l="1"/>
  <c r="C86" i="3"/>
  <c r="E86" i="3" s="1"/>
  <c r="B53" i="3"/>
  <c r="D53" i="3" s="1"/>
  <c r="I49" i="1"/>
  <c r="G50" i="1"/>
  <c r="J49" i="1"/>
  <c r="H84" i="1" l="1"/>
  <c r="C87" i="3"/>
  <c r="E87" i="3" s="1"/>
  <c r="B54" i="3"/>
  <c r="D54" i="3" s="1"/>
  <c r="I50" i="1"/>
  <c r="G51" i="1"/>
  <c r="J50" i="1"/>
  <c r="H85" i="1" l="1"/>
  <c r="C88" i="3"/>
  <c r="E88" i="3" s="1"/>
  <c r="B55" i="3"/>
  <c r="D55" i="3" s="1"/>
  <c r="I51" i="1"/>
  <c r="G52" i="1"/>
  <c r="J51" i="1"/>
  <c r="H86" i="1" l="1"/>
  <c r="C89" i="3"/>
  <c r="E89" i="3" s="1"/>
  <c r="B56" i="3"/>
  <c r="I52" i="1"/>
  <c r="G53" i="1"/>
  <c r="J52" i="1"/>
  <c r="H87" i="1" l="1"/>
  <c r="C90" i="3"/>
  <c r="E90" i="3" s="1"/>
  <c r="B57" i="3"/>
  <c r="D57" i="3" s="1"/>
  <c r="I53" i="1"/>
  <c r="K6" i="1"/>
  <c r="K14" i="1"/>
  <c r="K22" i="1"/>
  <c r="K30" i="1"/>
  <c r="K38" i="1"/>
  <c r="K46" i="1"/>
  <c r="K54" i="1"/>
  <c r="K62" i="1"/>
  <c r="K70" i="1"/>
  <c r="K78" i="1"/>
  <c r="K86" i="1"/>
  <c r="K7" i="1"/>
  <c r="K15" i="1"/>
  <c r="K23" i="1"/>
  <c r="K31" i="1"/>
  <c r="K39" i="1"/>
  <c r="K47" i="1"/>
  <c r="K55" i="1"/>
  <c r="K63" i="1"/>
  <c r="K71" i="1"/>
  <c r="K79" i="1"/>
  <c r="K87" i="1"/>
  <c r="K95" i="1"/>
  <c r="K3" i="1"/>
  <c r="K9" i="1"/>
  <c r="K33" i="1"/>
  <c r="K49" i="1"/>
  <c r="K57" i="1"/>
  <c r="K81" i="1"/>
  <c r="K97" i="1"/>
  <c r="K26" i="1"/>
  <c r="K58" i="1"/>
  <c r="K90" i="1"/>
  <c r="K8" i="1"/>
  <c r="K16" i="1"/>
  <c r="K24" i="1"/>
  <c r="K32" i="1"/>
  <c r="K40" i="1"/>
  <c r="K48" i="1"/>
  <c r="K56" i="1"/>
  <c r="K64" i="1"/>
  <c r="K72" i="1"/>
  <c r="K80" i="1"/>
  <c r="K88" i="1"/>
  <c r="K96" i="1"/>
  <c r="K25" i="1"/>
  <c r="K41" i="1"/>
  <c r="K73" i="1"/>
  <c r="K89" i="1"/>
  <c r="K10" i="1"/>
  <c r="K42" i="1"/>
  <c r="K74" i="1"/>
  <c r="K98" i="1"/>
  <c r="K5" i="1"/>
  <c r="K37" i="1"/>
  <c r="K69" i="1"/>
  <c r="K93" i="1"/>
  <c r="K17" i="1"/>
  <c r="K65" i="1"/>
  <c r="K18" i="1"/>
  <c r="K34" i="1"/>
  <c r="K66" i="1"/>
  <c r="K82" i="1"/>
  <c r="K13" i="1"/>
  <c r="K45" i="1"/>
  <c r="K77" i="1"/>
  <c r="K102" i="1"/>
  <c r="K50" i="1"/>
  <c r="K21" i="1"/>
  <c r="K61" i="1"/>
  <c r="K101" i="1"/>
  <c r="K11" i="1"/>
  <c r="K19" i="1"/>
  <c r="K27" i="1"/>
  <c r="K35" i="1"/>
  <c r="K43" i="1"/>
  <c r="K51" i="1"/>
  <c r="K59" i="1"/>
  <c r="K67" i="1"/>
  <c r="K75" i="1"/>
  <c r="K83" i="1"/>
  <c r="K91" i="1"/>
  <c r="K99" i="1"/>
  <c r="K4" i="1"/>
  <c r="K12" i="1"/>
  <c r="K20" i="1"/>
  <c r="K28" i="1"/>
  <c r="K36" i="1"/>
  <c r="K44" i="1"/>
  <c r="K52" i="1"/>
  <c r="K60" i="1"/>
  <c r="K68" i="1"/>
  <c r="K76" i="1"/>
  <c r="K84" i="1"/>
  <c r="K92" i="1"/>
  <c r="K100" i="1"/>
  <c r="K29" i="1"/>
  <c r="K53" i="1"/>
  <c r="K85" i="1"/>
  <c r="K94" i="1"/>
  <c r="F12" i="3"/>
  <c r="F68" i="3"/>
  <c r="F67" i="3"/>
  <c r="F58" i="3"/>
  <c r="F73" i="3"/>
  <c r="F88" i="3"/>
  <c r="F24" i="3"/>
  <c r="F103" i="3"/>
  <c r="F39" i="3"/>
  <c r="F69" i="3"/>
  <c r="F54" i="3"/>
  <c r="F87" i="3"/>
  <c r="F102" i="3"/>
  <c r="F64" i="3"/>
  <c r="F79" i="3"/>
  <c r="F94" i="3"/>
  <c r="F41" i="3"/>
  <c r="F56" i="3"/>
  <c r="F48" i="3"/>
  <c r="F74" i="3"/>
  <c r="F55" i="3"/>
  <c r="F76" i="3"/>
  <c r="F32" i="3"/>
  <c r="F62" i="3"/>
  <c r="F60" i="3"/>
  <c r="F59" i="3"/>
  <c r="F50" i="3"/>
  <c r="F14" i="3"/>
  <c r="F65" i="3"/>
  <c r="F80" i="3"/>
  <c r="F16" i="3"/>
  <c r="F95" i="3"/>
  <c r="F31" i="3"/>
  <c r="F37" i="3"/>
  <c r="F46" i="3"/>
  <c r="F23" i="3"/>
  <c r="F34" i="3"/>
  <c r="F49" i="3"/>
  <c r="F30" i="3"/>
  <c r="F90" i="3"/>
  <c r="F105" i="3"/>
  <c r="F101" i="3"/>
  <c r="F71" i="3"/>
  <c r="F22" i="3"/>
  <c r="F13" i="3"/>
  <c r="F20" i="3"/>
  <c r="F70" i="3"/>
  <c r="F47" i="3"/>
  <c r="F77" i="3"/>
  <c r="F52" i="3"/>
  <c r="F15" i="3"/>
  <c r="F51" i="3"/>
  <c r="F42" i="3"/>
  <c r="F85" i="3"/>
  <c r="F57" i="3"/>
  <c r="F72" i="3"/>
  <c r="F38" i="3"/>
  <c r="F26" i="3"/>
  <c r="F86" i="3"/>
  <c r="F19" i="3"/>
  <c r="F104" i="3"/>
  <c r="F17" i="3"/>
  <c r="F29" i="3"/>
  <c r="F44" i="3"/>
  <c r="F21" i="3"/>
  <c r="F43" i="3"/>
  <c r="F98" i="3"/>
  <c r="F53" i="3"/>
  <c r="F61" i="3"/>
  <c r="F78" i="3"/>
  <c r="F84" i="3"/>
  <c r="F25" i="3"/>
  <c r="F45" i="3"/>
  <c r="F100" i="3"/>
  <c r="F36" i="3"/>
  <c r="F99" i="3"/>
  <c r="F35" i="3"/>
  <c r="F40" i="3"/>
  <c r="F75" i="3"/>
  <c r="F81" i="3"/>
  <c r="F92" i="3"/>
  <c r="F28" i="3"/>
  <c r="F91" i="3"/>
  <c r="F27" i="3"/>
  <c r="F82" i="3"/>
  <c r="F18" i="3"/>
  <c r="F97" i="3"/>
  <c r="F33" i="3"/>
  <c r="F63" i="3"/>
  <c r="F83" i="3"/>
  <c r="F89" i="3"/>
  <c r="F93" i="3"/>
  <c r="F66" i="3"/>
  <c r="F96" i="3"/>
  <c r="D56" i="3"/>
  <c r="G54" i="1"/>
  <c r="J53" i="1"/>
  <c r="H88" i="1" l="1"/>
  <c r="C91" i="3"/>
  <c r="E91" i="3" s="1"/>
  <c r="B58" i="3"/>
  <c r="D58" i="3" s="1"/>
  <c r="I54" i="1"/>
  <c r="G55" i="1"/>
  <c r="J54" i="1"/>
  <c r="H89" i="1" l="1"/>
  <c r="C92" i="3"/>
  <c r="E92" i="3" s="1"/>
  <c r="B59" i="3"/>
  <c r="D59" i="3" s="1"/>
  <c r="I55" i="1"/>
  <c r="G56" i="1"/>
  <c r="J55" i="1"/>
  <c r="H90" i="1" l="1"/>
  <c r="C93" i="3"/>
  <c r="E93" i="3" s="1"/>
  <c r="B60" i="3"/>
  <c r="D60" i="3" s="1"/>
  <c r="I56" i="1"/>
  <c r="G57" i="1"/>
  <c r="J56" i="1"/>
  <c r="H91" i="1" l="1"/>
  <c r="C94" i="3"/>
  <c r="E94" i="3" s="1"/>
  <c r="B61" i="3"/>
  <c r="D61" i="3" s="1"/>
  <c r="I57" i="1"/>
  <c r="J57" i="1" s="1"/>
  <c r="G58" i="1"/>
  <c r="H92" i="1" l="1"/>
  <c r="C95" i="3"/>
  <c r="E95" i="3" s="1"/>
  <c r="B62" i="3"/>
  <c r="D62" i="3" s="1"/>
  <c r="I58" i="1"/>
  <c r="G59" i="1"/>
  <c r="J58" i="1"/>
  <c r="H93" i="1" l="1"/>
  <c r="C96" i="3"/>
  <c r="E96" i="3" s="1"/>
  <c r="B63" i="3"/>
  <c r="D63" i="3" s="1"/>
  <c r="I59" i="1"/>
  <c r="J59" i="1" s="1"/>
  <c r="G60" i="1"/>
  <c r="H94" i="1" l="1"/>
  <c r="C97" i="3"/>
  <c r="E97" i="3" s="1"/>
  <c r="B64" i="3"/>
  <c r="D64" i="3" s="1"/>
  <c r="I60" i="1"/>
  <c r="G61" i="1"/>
  <c r="J60" i="1"/>
  <c r="H95" i="1" l="1"/>
  <c r="C98" i="3"/>
  <c r="E98" i="3" s="1"/>
  <c r="B65" i="3"/>
  <c r="D65" i="3" s="1"/>
  <c r="I61" i="1"/>
  <c r="G62" i="1"/>
  <c r="J61" i="1"/>
  <c r="H96" i="1" l="1"/>
  <c r="C99" i="3"/>
  <c r="E99" i="3" s="1"/>
  <c r="B66" i="3"/>
  <c r="D66" i="3" s="1"/>
  <c r="I62" i="1"/>
  <c r="J62" i="1" s="1"/>
  <c r="G63" i="1"/>
  <c r="H97" i="1" l="1"/>
  <c r="C100" i="3"/>
  <c r="E100" i="3" s="1"/>
  <c r="B67" i="3"/>
  <c r="D67" i="3" s="1"/>
  <c r="I63" i="1"/>
  <c r="G64" i="1"/>
  <c r="J63" i="1"/>
  <c r="H98" i="1" l="1"/>
  <c r="C101" i="3"/>
  <c r="E101" i="3" s="1"/>
  <c r="B68" i="3"/>
  <c r="D68" i="3" s="1"/>
  <c r="I64" i="1"/>
  <c r="G65" i="1"/>
  <c r="J64" i="1"/>
  <c r="H99" i="1" l="1"/>
  <c r="C102" i="3"/>
  <c r="E102" i="3" s="1"/>
  <c r="B69" i="3"/>
  <c r="D69" i="3" s="1"/>
  <c r="I65" i="1"/>
  <c r="G66" i="1"/>
  <c r="J65" i="1"/>
  <c r="H100" i="1" l="1"/>
  <c r="C103" i="3"/>
  <c r="E103" i="3" s="1"/>
  <c r="B70" i="3"/>
  <c r="D70" i="3" s="1"/>
  <c r="I66" i="1"/>
  <c r="G67" i="1"/>
  <c r="J66" i="1"/>
  <c r="H101" i="1" l="1"/>
  <c r="C104" i="3"/>
  <c r="E104" i="3" s="1"/>
  <c r="B71" i="3"/>
  <c r="D71" i="3" s="1"/>
  <c r="I67" i="1"/>
  <c r="G68" i="1"/>
  <c r="J67" i="1"/>
  <c r="H102" i="1" l="1"/>
  <c r="C106" i="3" s="1"/>
  <c r="C105" i="3"/>
  <c r="E105" i="3" s="1"/>
  <c r="B72" i="3"/>
  <c r="D72" i="3" s="1"/>
  <c r="I68" i="1"/>
  <c r="G69" i="1"/>
  <c r="J68" i="1"/>
  <c r="B73" i="3" l="1"/>
  <c r="D73" i="3" s="1"/>
  <c r="I69" i="1"/>
  <c r="G70" i="1"/>
  <c r="J69" i="1"/>
  <c r="B74" i="3" l="1"/>
  <c r="D74" i="3" s="1"/>
  <c r="I70" i="1"/>
  <c r="G71" i="1"/>
  <c r="J70" i="1"/>
  <c r="B75" i="3" l="1"/>
  <c r="D75" i="3" s="1"/>
  <c r="I71" i="1"/>
  <c r="G72" i="1"/>
  <c r="J71" i="1"/>
  <c r="B76" i="3" l="1"/>
  <c r="D76" i="3" s="1"/>
  <c r="I72" i="1"/>
  <c r="G73" i="1"/>
  <c r="J72" i="1"/>
  <c r="B77" i="3" l="1"/>
  <c r="D77" i="3" s="1"/>
  <c r="I73" i="1"/>
  <c r="G74" i="1"/>
  <c r="J73" i="1"/>
  <c r="B78" i="3" l="1"/>
  <c r="D78" i="3" s="1"/>
  <c r="I74" i="1"/>
  <c r="G75" i="1"/>
  <c r="J74" i="1"/>
  <c r="B79" i="3" l="1"/>
  <c r="D79" i="3" s="1"/>
  <c r="I75" i="1"/>
  <c r="G76" i="1"/>
  <c r="J75" i="1"/>
  <c r="B80" i="3" l="1"/>
  <c r="D80" i="3" s="1"/>
  <c r="I76" i="1"/>
  <c r="G77" i="1"/>
  <c r="J76" i="1"/>
  <c r="B81" i="3" l="1"/>
  <c r="D81" i="3" s="1"/>
  <c r="I77" i="1"/>
  <c r="G78" i="1"/>
  <c r="J77" i="1"/>
  <c r="B82" i="3" l="1"/>
  <c r="D82" i="3" s="1"/>
  <c r="I78" i="1"/>
  <c r="G79" i="1"/>
  <c r="J78" i="1"/>
  <c r="B83" i="3" l="1"/>
  <c r="D83" i="3" s="1"/>
  <c r="I79" i="1"/>
  <c r="G80" i="1"/>
  <c r="J79" i="1"/>
  <c r="B84" i="3" l="1"/>
  <c r="D84" i="3" s="1"/>
  <c r="I80" i="1"/>
  <c r="G81" i="1"/>
  <c r="J80" i="1"/>
  <c r="B85" i="3" l="1"/>
  <c r="D85" i="3" s="1"/>
  <c r="I81" i="1"/>
  <c r="G82" i="1"/>
  <c r="J81" i="1"/>
  <c r="B86" i="3" l="1"/>
  <c r="D86" i="3" s="1"/>
  <c r="I82" i="1"/>
  <c r="G83" i="1"/>
  <c r="J82" i="1"/>
  <c r="B87" i="3" l="1"/>
  <c r="D87" i="3" s="1"/>
  <c r="I83" i="1"/>
  <c r="G84" i="1"/>
  <c r="J83" i="1"/>
  <c r="B88" i="3" l="1"/>
  <c r="D88" i="3" s="1"/>
  <c r="I84" i="1"/>
  <c r="G85" i="1"/>
  <c r="J84" i="1"/>
  <c r="B89" i="3" l="1"/>
  <c r="D89" i="3" s="1"/>
  <c r="I85" i="1"/>
  <c r="G86" i="1"/>
  <c r="J85" i="1"/>
  <c r="B90" i="3" l="1"/>
  <c r="D90" i="3" s="1"/>
  <c r="I86" i="1"/>
  <c r="G87" i="1"/>
  <c r="J86" i="1"/>
  <c r="B91" i="3" l="1"/>
  <c r="D91" i="3" s="1"/>
  <c r="I87" i="1"/>
  <c r="J87" i="1" s="1"/>
  <c r="G88" i="1"/>
  <c r="B92" i="3" l="1"/>
  <c r="D92" i="3" s="1"/>
  <c r="I88" i="1"/>
  <c r="G89" i="1"/>
  <c r="J88" i="1"/>
  <c r="B93" i="3" l="1"/>
  <c r="D93" i="3" s="1"/>
  <c r="I89" i="1"/>
  <c r="G90" i="1"/>
  <c r="J89" i="1"/>
  <c r="B94" i="3" l="1"/>
  <c r="D94" i="3" s="1"/>
  <c r="I90" i="1"/>
  <c r="G91" i="1"/>
  <c r="J90" i="1"/>
  <c r="B95" i="3" l="1"/>
  <c r="D95" i="3" s="1"/>
  <c r="I91" i="1"/>
  <c r="G92" i="1"/>
  <c r="J91" i="1"/>
  <c r="B96" i="3" l="1"/>
  <c r="D96" i="3" s="1"/>
  <c r="I92" i="1"/>
  <c r="G93" i="1"/>
  <c r="J92" i="1"/>
  <c r="B97" i="3" l="1"/>
  <c r="D97" i="3" s="1"/>
  <c r="I93" i="1"/>
  <c r="G94" i="1"/>
  <c r="J93" i="1"/>
  <c r="B98" i="3" l="1"/>
  <c r="D98" i="3" s="1"/>
  <c r="I94" i="1"/>
  <c r="G95" i="1"/>
  <c r="J94" i="1"/>
  <c r="B99" i="3" l="1"/>
  <c r="D99" i="3" s="1"/>
  <c r="I95" i="1"/>
  <c r="G96" i="1"/>
  <c r="J95" i="1"/>
  <c r="B100" i="3" l="1"/>
  <c r="D100" i="3" s="1"/>
  <c r="I96" i="1"/>
  <c r="G97" i="1"/>
  <c r="J96" i="1"/>
  <c r="B101" i="3" l="1"/>
  <c r="D101" i="3" s="1"/>
  <c r="I97" i="1"/>
  <c r="G98" i="1"/>
  <c r="J97" i="1"/>
  <c r="B102" i="3" l="1"/>
  <c r="D102" i="3" s="1"/>
  <c r="I98" i="1"/>
  <c r="G99" i="1"/>
  <c r="J98" i="1"/>
  <c r="B103" i="3" l="1"/>
  <c r="D103" i="3" s="1"/>
  <c r="I99" i="1"/>
  <c r="G100" i="1"/>
  <c r="J99" i="1"/>
  <c r="B104" i="3" l="1"/>
  <c r="D104" i="3" s="1"/>
  <c r="I100" i="1"/>
  <c r="G101" i="1"/>
  <c r="J100" i="1"/>
  <c r="B105" i="3" l="1"/>
  <c r="D105" i="3" s="1"/>
  <c r="I101" i="1"/>
  <c r="G102" i="1"/>
  <c r="J101" i="1"/>
  <c r="B106" i="3" l="1"/>
  <c r="I102" i="1"/>
  <c r="J102" i="1"/>
</calcChain>
</file>

<file path=xl/sharedStrings.xml><?xml version="1.0" encoding="utf-8"?>
<sst xmlns="http://schemas.openxmlformats.org/spreadsheetml/2006/main" count="43" uniqueCount="34">
  <si>
    <t>lvl</t>
    <phoneticPr fontId="1"/>
  </si>
  <si>
    <r>
      <t>等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</si>
  <si>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升</t>
    </r>
    <r>
      <rPr>
        <sz val="11"/>
        <color theme="1"/>
        <rFont val="ＭＳ Ｐゴシック"/>
        <family val="3"/>
        <charset val="134"/>
        <scheme val="minor"/>
      </rPr>
      <t>级XP</t>
    </r>
    <phoneticPr fontId="1"/>
  </si>
  <si>
    <r>
      <t>累</t>
    </r>
    <r>
      <rPr>
        <sz val="11"/>
        <color theme="1"/>
        <rFont val="ＭＳ Ｐゴシック"/>
        <family val="3"/>
        <charset val="134"/>
        <scheme val="minor"/>
      </rPr>
      <t>计XP</t>
    </r>
    <phoneticPr fontId="1"/>
  </si>
  <si>
    <t>单杀升级</t>
    <phoneticPr fontId="1"/>
  </si>
  <si>
    <t>系数</t>
    <phoneticPr fontId="1"/>
  </si>
  <si>
    <r>
      <t>基</t>
    </r>
    <r>
      <rPr>
        <sz val="11"/>
        <color theme="1"/>
        <rFont val="ＭＳ Ｐゴシック"/>
        <family val="3"/>
        <charset val="134"/>
        <scheme val="minor"/>
      </rPr>
      <t>础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</si>
  <si>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</t>
    </r>
    <r>
      <rPr>
        <sz val="11"/>
        <color theme="1"/>
        <rFont val="ＭＳ Ｐゴシック"/>
        <family val="2"/>
        <charset val="128"/>
        <scheme val="minor"/>
      </rPr>
      <t>系数</t>
    </r>
    <phoneticPr fontId="1"/>
  </si>
  <si>
    <r>
      <t>31</t>
    </r>
    <r>
      <rPr>
        <sz val="11"/>
        <color theme="1"/>
        <rFont val="ＭＳ Ｐゴシック"/>
        <family val="3"/>
        <charset val="134"/>
        <scheme val="minor"/>
      </rPr>
      <t>级基础</t>
    </r>
    <phoneticPr fontId="1"/>
  </si>
  <si>
    <t>旧100%</t>
    <phoneticPr fontId="1"/>
  </si>
  <si>
    <t>系数</t>
    <phoneticPr fontId="1"/>
  </si>
  <si>
    <t>旧80%</t>
    <phoneticPr fontId="1"/>
  </si>
  <si>
    <t>旧120%</t>
    <phoneticPr fontId="1"/>
  </si>
  <si>
    <t>快</t>
    <phoneticPr fontId="1"/>
  </si>
  <si>
    <t>普通</t>
    <phoneticPr fontId="1"/>
  </si>
  <si>
    <t>慢</t>
    <phoneticPr fontId="1"/>
  </si>
  <si>
    <r>
      <t>杀</t>
    </r>
    <r>
      <rPr>
        <sz val="11"/>
        <color theme="1"/>
        <rFont val="ＭＳ Ｐゴシック"/>
        <family val="3"/>
        <charset val="128"/>
        <scheme val="minor"/>
      </rPr>
      <t>50</t>
    </r>
    <r>
      <rPr>
        <sz val="11"/>
        <color theme="1"/>
        <rFont val="ＭＳ Ｐゴシック"/>
        <family val="3"/>
        <charset val="134"/>
        <scheme val="minor"/>
      </rPr>
      <t>级升级</t>
    </r>
    <phoneticPr fontId="1"/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</si>
  <si>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</si>
  <si>
    <r>
      <t>死亡</t>
    </r>
    <r>
      <rPr>
        <sz val="11"/>
        <color theme="1"/>
        <rFont val="ＭＳ Ｐゴシック"/>
        <family val="3"/>
        <charset val="134"/>
        <scheme val="minor"/>
      </rPr>
      <t>奖</t>
    </r>
    <r>
      <rPr>
        <sz val="11"/>
        <color theme="1"/>
        <rFont val="ＭＳ Ｐゴシック"/>
        <family val="2"/>
        <charset val="128"/>
        <scheme val="minor"/>
      </rPr>
      <t>励XP</t>
    </r>
    <phoneticPr fontId="1"/>
  </si>
  <si>
    <r>
      <t>单杀</t>
    </r>
    <r>
      <rPr>
        <sz val="11"/>
        <color theme="1"/>
        <rFont val="ＭＳ Ｐゴシック"/>
        <family val="2"/>
        <charset val="128"/>
        <scheme val="minor"/>
      </rPr>
      <t>升</t>
    </r>
    <r>
      <rPr>
        <sz val="11"/>
        <color theme="1"/>
        <rFont val="ＭＳ Ｐゴシック"/>
        <family val="3"/>
        <charset val="134"/>
        <scheme val="minor"/>
      </rPr>
      <t>级百分比</t>
    </r>
    <phoneticPr fontId="1"/>
  </si>
  <si>
    <t>修正前xp</t>
    <phoneticPr fontId="1"/>
  </si>
  <si>
    <t>修正后xp</t>
    <phoneticPr fontId="1"/>
  </si>
  <si>
    <r>
      <t>修正前</t>
    </r>
    <r>
      <rPr>
        <sz val="11"/>
        <color theme="1"/>
        <rFont val="ＭＳ Ｐゴシック"/>
        <family val="3"/>
        <charset val="134"/>
        <scheme val="minor"/>
      </rPr>
      <t>单杀</t>
    </r>
    <phoneticPr fontId="1"/>
  </si>
  <si>
    <r>
      <t>修正后</t>
    </r>
    <r>
      <rPr>
        <sz val="11"/>
        <color theme="1"/>
        <rFont val="ＭＳ Ｐゴシック"/>
        <family val="3"/>
        <charset val="134"/>
        <scheme val="minor"/>
      </rPr>
      <t>单杀</t>
    </r>
    <phoneticPr fontId="1"/>
  </si>
  <si>
    <r>
      <t>修正前50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</si>
  <si>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r>
      <t>修正后50</t>
    </r>
    <r>
      <rPr>
        <sz val="11"/>
        <color theme="1"/>
        <rFont val="ＭＳ Ｐゴシック"/>
        <family val="3"/>
        <charset val="134"/>
        <scheme val="minor"/>
      </rPr>
      <t>级</t>
    </r>
    <phoneticPr fontId="1"/>
  </si>
  <si>
    <t>修正前</t>
    <phoneticPr fontId="1"/>
  </si>
  <si>
    <t>修正后</t>
    <phoneticPr fontId="1"/>
  </si>
  <si>
    <r>
      <t>金</t>
    </r>
    <r>
      <rPr>
        <sz val="11"/>
        <color theme="1"/>
        <rFont val="ＭＳ Ｐゴシック"/>
        <family val="3"/>
        <charset val="134"/>
        <scheme val="minor"/>
      </rPr>
      <t>钱</t>
    </r>
    <r>
      <rPr>
        <sz val="11"/>
        <color theme="1"/>
        <rFont val="ＭＳ Ｐゴシック"/>
        <family val="3"/>
        <charset val="134"/>
        <scheme val="minor"/>
      </rPr>
      <t>Filiter</t>
    </r>
    <phoneticPr fontId="1"/>
  </si>
  <si>
    <r>
      <rPr>
        <sz val="11"/>
        <color theme="1"/>
        <rFont val="ＭＳ Ｐゴシック"/>
        <family val="3"/>
        <charset val="134"/>
        <scheme val="minor"/>
      </rPr>
      <t>击杀</t>
    </r>
    <r>
      <rPr>
        <sz val="11"/>
        <color theme="1"/>
        <rFont val="ＭＳ Ｐゴシック"/>
        <family val="2"/>
        <charset val="128"/>
        <scheme val="minor"/>
      </rPr>
      <t>/助攻作</t>
    </r>
    <r>
      <rPr>
        <sz val="11"/>
        <color theme="1"/>
        <rFont val="ＭＳ Ｐゴシック"/>
        <family val="3"/>
        <charset val="134"/>
        <scheme val="minor"/>
      </rPr>
      <t>为两次金钱获取</t>
    </r>
    <r>
      <rPr>
        <sz val="11"/>
        <color theme="1"/>
        <rFont val="ＭＳ Ｐゴシック"/>
        <family val="2"/>
        <charset val="128"/>
        <scheme val="minor"/>
      </rPr>
      <t>分</t>
    </r>
    <r>
      <rPr>
        <sz val="11"/>
        <color theme="1"/>
        <rFont val="ＭＳ Ｐゴシック"/>
        <family val="3"/>
        <charset val="134"/>
        <scheme val="minor"/>
      </rPr>
      <t>别计</t>
    </r>
    <r>
      <rPr>
        <sz val="11"/>
        <color theme="1"/>
        <rFont val="ＭＳ Ｐゴシック"/>
        <family val="2"/>
        <charset val="128"/>
        <scheme val="minor"/>
      </rPr>
      <t>算</t>
    </r>
    <phoneticPr fontId="1"/>
  </si>
  <si>
    <t>X</t>
    <phoneticPr fontId="1"/>
  </si>
  <si>
    <t>Y</t>
    <phoneticPr fontId="1"/>
  </si>
  <si>
    <t>修正后</t>
    <phoneticPr fontId="1"/>
  </si>
  <si>
    <t>1.37b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</si>
</sst>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10" fontId="0" fillId="0" borderId="0" xfId="1" applyNumberFormat="1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9" fontId="0" fillId="0" borderId="4" xfId="0" applyNumberFormat="1" applyBorder="1">
      <alignment vertical="center"/>
    </xf>
    <xf numFmtId="0" fontId="0" fillId="0" borderId="0" xfId="0" applyBorder="1">
      <alignment vertical="center"/>
    </xf>
    <xf numFmtId="9" fontId="0" fillId="0" borderId="6" xfId="0" applyNumberFormat="1" applyBorder="1">
      <alignment vertical="center"/>
    </xf>
    <xf numFmtId="0" fontId="0" fillId="0" borderId="7" xfId="0" applyBorder="1">
      <alignment vertical="center"/>
    </xf>
    <xf numFmtId="9" fontId="0" fillId="0" borderId="1" xfId="0" applyNumberFormat="1" applyBorder="1">
      <alignment vertical="center"/>
    </xf>
    <xf numFmtId="0" fontId="2" fillId="0" borderId="4" xfId="0" applyFont="1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1" fontId="0" fillId="0" borderId="0" xfId="0" applyNumberFormat="1" applyBorder="1">
      <alignment vertical="center"/>
    </xf>
    <xf numFmtId="1" fontId="0" fillId="0" borderId="7" xfId="0" applyNumberFormat="1" applyBorder="1">
      <alignment vertical="center"/>
    </xf>
    <xf numFmtId="0" fontId="0" fillId="2" borderId="2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3" xfId="0" applyFill="1" applyBorder="1">
      <alignment vertical="center"/>
    </xf>
    <xf numFmtId="1" fontId="0" fillId="2" borderId="3" xfId="0" applyNumberFormat="1" applyFill="1" applyBorder="1">
      <alignment vertical="center"/>
    </xf>
    <xf numFmtId="1" fontId="0" fillId="2" borderId="5" xfId="0" applyNumberFormat="1" applyFill="1" applyBorder="1">
      <alignment vertical="center"/>
    </xf>
    <xf numFmtId="1" fontId="0" fillId="2" borderId="8" xfId="0" applyNumberFormat="1" applyFill="1" applyBorder="1">
      <alignment vertical="center"/>
    </xf>
    <xf numFmtId="1" fontId="0" fillId="3" borderId="0" xfId="0" applyNumberFormat="1" applyFill="1" applyBorder="1">
      <alignment vertical="center"/>
    </xf>
    <xf numFmtId="1" fontId="0" fillId="3" borderId="2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4" borderId="0" xfId="0" applyFill="1">
      <alignment vertical="center"/>
    </xf>
    <xf numFmtId="0" fontId="2" fillId="4" borderId="0" xfId="0" applyFont="1" applyFill="1">
      <alignment vertical="center"/>
    </xf>
    <xf numFmtId="10" fontId="0" fillId="4" borderId="0" xfId="1" applyNumberFormat="1" applyFont="1" applyFill="1">
      <alignment vertical="center"/>
    </xf>
    <xf numFmtId="0" fontId="0" fillId="0" borderId="9" xfId="0" applyBorder="1">
      <alignment vertical="center"/>
    </xf>
    <xf numFmtId="0" fontId="0" fillId="0" borderId="0" xfId="0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升级所需</a:t>
            </a:r>
            <a:r>
              <a:rPr lang="en-US" altLang="zh-CN"/>
              <a:t>XP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xp!$E$2</c:f>
              <c:strCache>
                <c:ptCount val="1"/>
                <c:pt idx="0">
                  <c:v>修正前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xp!$E$4:$E$52</c:f>
              <c:numCache>
                <c:formatCode>General</c:formatCode>
                <c:ptCount val="49"/>
                <c:pt idx="0">
                  <c:v>180</c:v>
                </c:pt>
                <c:pt idx="1">
                  <c:v>330</c:v>
                </c:pt>
                <c:pt idx="2">
                  <c:v>450</c:v>
                </c:pt>
                <c:pt idx="3">
                  <c:v>560</c:v>
                </c:pt>
                <c:pt idx="4">
                  <c:v>590</c:v>
                </c:pt>
                <c:pt idx="5">
                  <c:v>740</c:v>
                </c:pt>
                <c:pt idx="6">
                  <c:v>790</c:v>
                </c:pt>
                <c:pt idx="7">
                  <c:v>840</c:v>
                </c:pt>
                <c:pt idx="8">
                  <c:v>890</c:v>
                </c:pt>
                <c:pt idx="9">
                  <c:v>940</c:v>
                </c:pt>
                <c:pt idx="10">
                  <c:v>1070</c:v>
                </c:pt>
                <c:pt idx="11">
                  <c:v>1200</c:v>
                </c:pt>
                <c:pt idx="12">
                  <c:v>1425</c:v>
                </c:pt>
                <c:pt idx="13">
                  <c:v>1550</c:v>
                </c:pt>
                <c:pt idx="14">
                  <c:v>1675</c:v>
                </c:pt>
                <c:pt idx="15">
                  <c:v>1800</c:v>
                </c:pt>
                <c:pt idx="16">
                  <c:v>1925</c:v>
                </c:pt>
                <c:pt idx="17">
                  <c:v>2000</c:v>
                </c:pt>
                <c:pt idx="18">
                  <c:v>2090</c:v>
                </c:pt>
                <c:pt idx="19">
                  <c:v>2100</c:v>
                </c:pt>
                <c:pt idx="20">
                  <c:v>2350</c:v>
                </c:pt>
                <c:pt idx="21">
                  <c:v>2600</c:v>
                </c:pt>
                <c:pt idx="22">
                  <c:v>2850</c:v>
                </c:pt>
                <c:pt idx="23">
                  <c:v>3100</c:v>
                </c:pt>
                <c:pt idx="24">
                  <c:v>3500</c:v>
                </c:pt>
                <c:pt idx="25">
                  <c:v>4500</c:v>
                </c:pt>
                <c:pt idx="26">
                  <c:v>5500</c:v>
                </c:pt>
                <c:pt idx="27">
                  <c:v>6500</c:v>
                </c:pt>
                <c:pt idx="28">
                  <c:v>7500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xp!$F$2</c:f>
              <c:strCache>
                <c:ptCount val="1"/>
                <c:pt idx="0">
                  <c:v>修正后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xp!$F$4:$F$52</c:f>
              <c:numCache>
                <c:formatCode>General</c:formatCode>
                <c:ptCount val="49"/>
                <c:pt idx="0">
                  <c:v>180</c:v>
                </c:pt>
                <c:pt idx="1">
                  <c:v>330</c:v>
                </c:pt>
                <c:pt idx="2">
                  <c:v>480</c:v>
                </c:pt>
                <c:pt idx="3">
                  <c:v>630</c:v>
                </c:pt>
                <c:pt idx="4">
                  <c:v>780</c:v>
                </c:pt>
                <c:pt idx="5">
                  <c:v>840</c:v>
                </c:pt>
                <c:pt idx="6">
                  <c:v>900</c:v>
                </c:pt>
                <c:pt idx="7">
                  <c:v>960</c:v>
                </c:pt>
                <c:pt idx="8">
                  <c:v>1020</c:v>
                </c:pt>
                <c:pt idx="9">
                  <c:v>1080</c:v>
                </c:pt>
                <c:pt idx="10">
                  <c:v>1150</c:v>
                </c:pt>
                <c:pt idx="11">
                  <c:v>1300</c:v>
                </c:pt>
                <c:pt idx="12">
                  <c:v>1450</c:v>
                </c:pt>
                <c:pt idx="13">
                  <c:v>1600</c:v>
                </c:pt>
                <c:pt idx="14">
                  <c:v>1750</c:v>
                </c:pt>
                <c:pt idx="15">
                  <c:v>1900</c:v>
                </c:pt>
                <c:pt idx="16">
                  <c:v>2000</c:v>
                </c:pt>
                <c:pt idx="17">
                  <c:v>2100</c:v>
                </c:pt>
                <c:pt idx="18">
                  <c:v>2200</c:v>
                </c:pt>
                <c:pt idx="19">
                  <c:v>2400</c:v>
                </c:pt>
                <c:pt idx="20">
                  <c:v>2600</c:v>
                </c:pt>
                <c:pt idx="21">
                  <c:v>2800</c:v>
                </c:pt>
                <c:pt idx="22">
                  <c:v>3000</c:v>
                </c:pt>
                <c:pt idx="23">
                  <c:v>3500</c:v>
                </c:pt>
                <c:pt idx="24">
                  <c:v>4000</c:v>
                </c:pt>
                <c:pt idx="25">
                  <c:v>4500</c:v>
                </c:pt>
                <c:pt idx="26">
                  <c:v>5000</c:v>
                </c:pt>
                <c:pt idx="27">
                  <c:v>5500</c:v>
                </c:pt>
                <c:pt idx="28">
                  <c:v>6000</c:v>
                </c:pt>
                <c:pt idx="29">
                  <c:v>6200</c:v>
                </c:pt>
                <c:pt idx="30">
                  <c:v>6400</c:v>
                </c:pt>
                <c:pt idx="31">
                  <c:v>6600</c:v>
                </c:pt>
                <c:pt idx="32">
                  <c:v>6800</c:v>
                </c:pt>
                <c:pt idx="33">
                  <c:v>7000</c:v>
                </c:pt>
                <c:pt idx="34">
                  <c:v>7200</c:v>
                </c:pt>
                <c:pt idx="35">
                  <c:v>7400</c:v>
                </c:pt>
                <c:pt idx="36">
                  <c:v>7600</c:v>
                </c:pt>
                <c:pt idx="37">
                  <c:v>7800</c:v>
                </c:pt>
                <c:pt idx="38">
                  <c:v>8000</c:v>
                </c:pt>
                <c:pt idx="39">
                  <c:v>8200</c:v>
                </c:pt>
                <c:pt idx="40">
                  <c:v>8400</c:v>
                </c:pt>
                <c:pt idx="41">
                  <c:v>8600</c:v>
                </c:pt>
                <c:pt idx="42">
                  <c:v>8800</c:v>
                </c:pt>
                <c:pt idx="43">
                  <c:v>9000</c:v>
                </c:pt>
                <c:pt idx="44">
                  <c:v>9200</c:v>
                </c:pt>
                <c:pt idx="45">
                  <c:v>9400</c:v>
                </c:pt>
                <c:pt idx="46">
                  <c:v>9600</c:v>
                </c:pt>
                <c:pt idx="47">
                  <c:v>9800</c:v>
                </c:pt>
                <c:pt idx="48">
                  <c:v>10000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2458768"/>
        <c:axId val="1772459312"/>
      </c:lineChart>
      <c:catAx>
        <c:axId val="1772458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72459312"/>
        <c:crosses val="autoZero"/>
        <c:auto val="1"/>
        <c:lblAlgn val="ctr"/>
        <c:lblOffset val="100"/>
        <c:noMultiLvlLbl val="0"/>
      </c:catAx>
      <c:valAx>
        <c:axId val="177245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72458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累计</a:t>
            </a:r>
            <a:r>
              <a:rPr lang="en-US" altLang="zh-CN"/>
              <a:t>XP</a:t>
            </a:r>
            <a:endParaRPr lang="ja-JP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xp!$G$2</c:f>
              <c:strCache>
                <c:ptCount val="1"/>
                <c:pt idx="0">
                  <c:v>修正前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xp!$G$3:$G$52</c:f>
              <c:numCache>
                <c:formatCode>General</c:formatCode>
                <c:ptCount val="50"/>
                <c:pt idx="0">
                  <c:v>0</c:v>
                </c:pt>
                <c:pt idx="1">
                  <c:v>180</c:v>
                </c:pt>
                <c:pt idx="2">
                  <c:v>510</c:v>
                </c:pt>
                <c:pt idx="3">
                  <c:v>960</c:v>
                </c:pt>
                <c:pt idx="4">
                  <c:v>1520</c:v>
                </c:pt>
                <c:pt idx="5">
                  <c:v>2110</c:v>
                </c:pt>
                <c:pt idx="6">
                  <c:v>2850</c:v>
                </c:pt>
                <c:pt idx="7">
                  <c:v>3640</c:v>
                </c:pt>
                <c:pt idx="8">
                  <c:v>4480</c:v>
                </c:pt>
                <c:pt idx="9">
                  <c:v>5370</c:v>
                </c:pt>
                <c:pt idx="10">
                  <c:v>6310</c:v>
                </c:pt>
                <c:pt idx="11">
                  <c:v>7380</c:v>
                </c:pt>
                <c:pt idx="12">
                  <c:v>8580</c:v>
                </c:pt>
                <c:pt idx="13">
                  <c:v>10005</c:v>
                </c:pt>
                <c:pt idx="14">
                  <c:v>11555</c:v>
                </c:pt>
                <c:pt idx="15">
                  <c:v>13230</c:v>
                </c:pt>
                <c:pt idx="16">
                  <c:v>15030</c:v>
                </c:pt>
                <c:pt idx="17">
                  <c:v>16955</c:v>
                </c:pt>
                <c:pt idx="18">
                  <c:v>18955</c:v>
                </c:pt>
                <c:pt idx="19">
                  <c:v>21045</c:v>
                </c:pt>
                <c:pt idx="20">
                  <c:v>23145</c:v>
                </c:pt>
                <c:pt idx="21">
                  <c:v>25495</c:v>
                </c:pt>
                <c:pt idx="22">
                  <c:v>28095</c:v>
                </c:pt>
                <c:pt idx="23">
                  <c:v>30945</c:v>
                </c:pt>
                <c:pt idx="24">
                  <c:v>34045</c:v>
                </c:pt>
                <c:pt idx="25">
                  <c:v>37545</c:v>
                </c:pt>
                <c:pt idx="26">
                  <c:v>42045</c:v>
                </c:pt>
                <c:pt idx="27">
                  <c:v>47545</c:v>
                </c:pt>
                <c:pt idx="28">
                  <c:v>54045</c:v>
                </c:pt>
                <c:pt idx="29">
                  <c:v>61545</c:v>
                </c:pt>
                <c:pt idx="30">
                  <c:v>67745</c:v>
                </c:pt>
                <c:pt idx="31">
                  <c:v>74145</c:v>
                </c:pt>
                <c:pt idx="32">
                  <c:v>80745</c:v>
                </c:pt>
                <c:pt idx="33">
                  <c:v>87545</c:v>
                </c:pt>
                <c:pt idx="34">
                  <c:v>94545</c:v>
                </c:pt>
                <c:pt idx="35">
                  <c:v>101745</c:v>
                </c:pt>
                <c:pt idx="36">
                  <c:v>109145</c:v>
                </c:pt>
                <c:pt idx="37">
                  <c:v>116745</c:v>
                </c:pt>
                <c:pt idx="38">
                  <c:v>124545</c:v>
                </c:pt>
                <c:pt idx="39">
                  <c:v>132545</c:v>
                </c:pt>
                <c:pt idx="40">
                  <c:v>140745</c:v>
                </c:pt>
                <c:pt idx="41">
                  <c:v>149145</c:v>
                </c:pt>
                <c:pt idx="42">
                  <c:v>157745</c:v>
                </c:pt>
                <c:pt idx="43">
                  <c:v>166545</c:v>
                </c:pt>
                <c:pt idx="44">
                  <c:v>175545</c:v>
                </c:pt>
                <c:pt idx="45">
                  <c:v>184745</c:v>
                </c:pt>
                <c:pt idx="46">
                  <c:v>194145</c:v>
                </c:pt>
                <c:pt idx="47">
                  <c:v>203745</c:v>
                </c:pt>
                <c:pt idx="48">
                  <c:v>213545</c:v>
                </c:pt>
                <c:pt idx="49">
                  <c:v>223545</c:v>
                </c:pt>
              </c:numCache>
            </c:numRef>
          </c:val>
        </c:ser>
        <c:ser>
          <c:idx val="1"/>
          <c:order val="1"/>
          <c:tx>
            <c:strRef>
              <c:f>xp!$H$2</c:f>
              <c:strCache>
                <c:ptCount val="1"/>
                <c:pt idx="0">
                  <c:v>修正后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xp!$H$3:$H$52</c:f>
              <c:numCache>
                <c:formatCode>General</c:formatCode>
                <c:ptCount val="50"/>
                <c:pt idx="0">
                  <c:v>0</c:v>
                </c:pt>
                <c:pt idx="1">
                  <c:v>180</c:v>
                </c:pt>
                <c:pt idx="2">
                  <c:v>510</c:v>
                </c:pt>
                <c:pt idx="3">
                  <c:v>990</c:v>
                </c:pt>
                <c:pt idx="4">
                  <c:v>1620</c:v>
                </c:pt>
                <c:pt idx="5">
                  <c:v>2400</c:v>
                </c:pt>
                <c:pt idx="6">
                  <c:v>3240</c:v>
                </c:pt>
                <c:pt idx="7">
                  <c:v>4140</c:v>
                </c:pt>
                <c:pt idx="8">
                  <c:v>5100</c:v>
                </c:pt>
                <c:pt idx="9">
                  <c:v>6120</c:v>
                </c:pt>
                <c:pt idx="10">
                  <c:v>7200</c:v>
                </c:pt>
                <c:pt idx="11">
                  <c:v>8350</c:v>
                </c:pt>
                <c:pt idx="12">
                  <c:v>9650</c:v>
                </c:pt>
                <c:pt idx="13">
                  <c:v>11100</c:v>
                </c:pt>
                <c:pt idx="14">
                  <c:v>12700</c:v>
                </c:pt>
                <c:pt idx="15">
                  <c:v>14450</c:v>
                </c:pt>
                <c:pt idx="16">
                  <c:v>16350</c:v>
                </c:pt>
                <c:pt idx="17">
                  <c:v>18350</c:v>
                </c:pt>
                <c:pt idx="18">
                  <c:v>20450</c:v>
                </c:pt>
                <c:pt idx="19">
                  <c:v>22650</c:v>
                </c:pt>
                <c:pt idx="20">
                  <c:v>25050</c:v>
                </c:pt>
                <c:pt idx="21">
                  <c:v>27650</c:v>
                </c:pt>
                <c:pt idx="22">
                  <c:v>30450</c:v>
                </c:pt>
                <c:pt idx="23">
                  <c:v>33450</c:v>
                </c:pt>
                <c:pt idx="24">
                  <c:v>36950</c:v>
                </c:pt>
                <c:pt idx="25">
                  <c:v>40950</c:v>
                </c:pt>
                <c:pt idx="26">
                  <c:v>45450</c:v>
                </c:pt>
                <c:pt idx="27">
                  <c:v>50450</c:v>
                </c:pt>
                <c:pt idx="28">
                  <c:v>55950</c:v>
                </c:pt>
                <c:pt idx="29">
                  <c:v>61950</c:v>
                </c:pt>
                <c:pt idx="30">
                  <c:v>68150</c:v>
                </c:pt>
                <c:pt idx="31">
                  <c:v>74550</c:v>
                </c:pt>
                <c:pt idx="32">
                  <c:v>81150</c:v>
                </c:pt>
                <c:pt idx="33">
                  <c:v>87950</c:v>
                </c:pt>
                <c:pt idx="34">
                  <c:v>94950</c:v>
                </c:pt>
                <c:pt idx="35">
                  <c:v>102150</c:v>
                </c:pt>
                <c:pt idx="36">
                  <c:v>109550</c:v>
                </c:pt>
                <c:pt idx="37">
                  <c:v>117150</c:v>
                </c:pt>
                <c:pt idx="38">
                  <c:v>124950</c:v>
                </c:pt>
                <c:pt idx="39">
                  <c:v>132950</c:v>
                </c:pt>
                <c:pt idx="40">
                  <c:v>141150</c:v>
                </c:pt>
                <c:pt idx="41">
                  <c:v>149550</c:v>
                </c:pt>
                <c:pt idx="42">
                  <c:v>158150</c:v>
                </c:pt>
                <c:pt idx="43">
                  <c:v>166950</c:v>
                </c:pt>
                <c:pt idx="44">
                  <c:v>175950</c:v>
                </c:pt>
                <c:pt idx="45">
                  <c:v>185150</c:v>
                </c:pt>
                <c:pt idx="46">
                  <c:v>194550</c:v>
                </c:pt>
                <c:pt idx="47">
                  <c:v>204150</c:v>
                </c:pt>
                <c:pt idx="48">
                  <c:v>213950</c:v>
                </c:pt>
                <c:pt idx="49">
                  <c:v>223950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2459856"/>
        <c:axId val="1773004720"/>
      </c:barChart>
      <c:catAx>
        <c:axId val="1772459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73004720"/>
        <c:crosses val="autoZero"/>
        <c:auto val="1"/>
        <c:lblAlgn val="ctr"/>
        <c:lblOffset val="100"/>
        <c:noMultiLvlLbl val="0"/>
      </c:catAx>
      <c:valAx>
        <c:axId val="177300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72459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killXP!$B$6</c:f>
              <c:strCache>
                <c:ptCount val="1"/>
                <c:pt idx="0">
                  <c:v>修正前xp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killXP!$B$7:$B$56</c:f>
              <c:numCache>
                <c:formatCode>General</c:formatCode>
                <c:ptCount val="5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126.39999999999999</c:v>
                </c:pt>
                <c:pt idx="4">
                  <c:v>176.79999999999998</c:v>
                </c:pt>
                <c:pt idx="5">
                  <c:v>229.9</c:v>
                </c:pt>
                <c:pt idx="6">
                  <c:v>296.5</c:v>
                </c:pt>
                <c:pt idx="7">
                  <c:v>367.59999999999997</c:v>
                </c:pt>
                <c:pt idx="8">
                  <c:v>443.2</c:v>
                </c:pt>
                <c:pt idx="9">
                  <c:v>523.29999999999995</c:v>
                </c:pt>
                <c:pt idx="10">
                  <c:v>607.9</c:v>
                </c:pt>
                <c:pt idx="11">
                  <c:v>704.19999999999993</c:v>
                </c:pt>
                <c:pt idx="12">
                  <c:v>812.19999999999993</c:v>
                </c:pt>
                <c:pt idx="13">
                  <c:v>940.44999999999993</c:v>
                </c:pt>
                <c:pt idx="14">
                  <c:v>1079.95</c:v>
                </c:pt>
                <c:pt idx="15">
                  <c:v>1230.7</c:v>
                </c:pt>
                <c:pt idx="16">
                  <c:v>1392.7</c:v>
                </c:pt>
                <c:pt idx="17">
                  <c:v>1565.95</c:v>
                </c:pt>
                <c:pt idx="18">
                  <c:v>1745.95</c:v>
                </c:pt>
                <c:pt idx="19">
                  <c:v>1934.05</c:v>
                </c:pt>
                <c:pt idx="20">
                  <c:v>2123.0499999999997</c:v>
                </c:pt>
                <c:pt idx="21">
                  <c:v>2334.5499999999997</c:v>
                </c:pt>
                <c:pt idx="22">
                  <c:v>2568.5499999999997</c:v>
                </c:pt>
                <c:pt idx="23">
                  <c:v>2825.0499999999997</c:v>
                </c:pt>
                <c:pt idx="24">
                  <c:v>3104.0499999999997</c:v>
                </c:pt>
                <c:pt idx="25">
                  <c:v>3419.0499999999997</c:v>
                </c:pt>
                <c:pt idx="26">
                  <c:v>3824.0499999999997</c:v>
                </c:pt>
                <c:pt idx="27">
                  <c:v>4319.05</c:v>
                </c:pt>
                <c:pt idx="28">
                  <c:v>4904.05</c:v>
                </c:pt>
                <c:pt idx="29">
                  <c:v>5579.05</c:v>
                </c:pt>
                <c:pt idx="30">
                  <c:v>5532.35</c:v>
                </c:pt>
                <c:pt idx="31">
                  <c:v>5724.35</c:v>
                </c:pt>
                <c:pt idx="32">
                  <c:v>5922.35</c:v>
                </c:pt>
                <c:pt idx="33">
                  <c:v>6126.35</c:v>
                </c:pt>
                <c:pt idx="34">
                  <c:v>6336.35</c:v>
                </c:pt>
                <c:pt idx="35">
                  <c:v>6552.35</c:v>
                </c:pt>
                <c:pt idx="36">
                  <c:v>6774.35</c:v>
                </c:pt>
                <c:pt idx="37">
                  <c:v>7002.35</c:v>
                </c:pt>
                <c:pt idx="38">
                  <c:v>7236.35</c:v>
                </c:pt>
                <c:pt idx="39">
                  <c:v>7476.35</c:v>
                </c:pt>
                <c:pt idx="40">
                  <c:v>7722.3499999999995</c:v>
                </c:pt>
                <c:pt idx="41">
                  <c:v>7974.3499999999995</c:v>
                </c:pt>
                <c:pt idx="42">
                  <c:v>8232.3499999999985</c:v>
                </c:pt>
                <c:pt idx="43">
                  <c:v>8496.3499999999985</c:v>
                </c:pt>
                <c:pt idx="44">
                  <c:v>8766.3499999999985</c:v>
                </c:pt>
                <c:pt idx="45">
                  <c:v>9042.3499999999985</c:v>
                </c:pt>
                <c:pt idx="46">
                  <c:v>9324.3499999999985</c:v>
                </c:pt>
                <c:pt idx="47">
                  <c:v>9612.3499999999985</c:v>
                </c:pt>
                <c:pt idx="48">
                  <c:v>9906.3499999999985</c:v>
                </c:pt>
                <c:pt idx="49">
                  <c:v>10206.349999999999</c:v>
                </c:pt>
              </c:numCache>
            </c:numRef>
          </c:val>
        </c:ser>
        <c:ser>
          <c:idx val="1"/>
          <c:order val="1"/>
          <c:tx>
            <c:strRef>
              <c:f>killXP!$C$6</c:f>
              <c:strCache>
                <c:ptCount val="1"/>
                <c:pt idx="0">
                  <c:v>修正后xp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killXP!$C$7:$C$56</c:f>
              <c:numCache>
                <c:formatCode>General</c:formatCode>
                <c:ptCount val="50"/>
                <c:pt idx="0">
                  <c:v>40</c:v>
                </c:pt>
                <c:pt idx="1">
                  <c:v>56.2</c:v>
                </c:pt>
                <c:pt idx="2">
                  <c:v>85.9</c:v>
                </c:pt>
                <c:pt idx="3">
                  <c:v>129.1</c:v>
                </c:pt>
                <c:pt idx="4">
                  <c:v>185.79999999999998</c:v>
                </c:pt>
                <c:pt idx="5">
                  <c:v>256</c:v>
                </c:pt>
                <c:pt idx="6">
                  <c:v>331.59999999999997</c:v>
                </c:pt>
                <c:pt idx="7">
                  <c:v>412.59999999999997</c:v>
                </c:pt>
                <c:pt idx="8">
                  <c:v>499</c:v>
                </c:pt>
                <c:pt idx="9">
                  <c:v>590.79999999999995</c:v>
                </c:pt>
                <c:pt idx="10">
                  <c:v>688</c:v>
                </c:pt>
                <c:pt idx="11">
                  <c:v>791.5</c:v>
                </c:pt>
                <c:pt idx="12">
                  <c:v>908.5</c:v>
                </c:pt>
                <c:pt idx="13">
                  <c:v>1039</c:v>
                </c:pt>
                <c:pt idx="14">
                  <c:v>1183</c:v>
                </c:pt>
                <c:pt idx="15">
                  <c:v>1340.5</c:v>
                </c:pt>
                <c:pt idx="16">
                  <c:v>1511.5</c:v>
                </c:pt>
                <c:pt idx="17">
                  <c:v>1691.5</c:v>
                </c:pt>
                <c:pt idx="18">
                  <c:v>1880.5</c:v>
                </c:pt>
                <c:pt idx="19">
                  <c:v>2078.5</c:v>
                </c:pt>
                <c:pt idx="20">
                  <c:v>2294.5</c:v>
                </c:pt>
                <c:pt idx="21">
                  <c:v>2528.5</c:v>
                </c:pt>
                <c:pt idx="22">
                  <c:v>2780.5</c:v>
                </c:pt>
                <c:pt idx="23">
                  <c:v>3050.5</c:v>
                </c:pt>
                <c:pt idx="24">
                  <c:v>3365.5</c:v>
                </c:pt>
                <c:pt idx="25">
                  <c:v>3725.5</c:v>
                </c:pt>
                <c:pt idx="26">
                  <c:v>4130.5</c:v>
                </c:pt>
                <c:pt idx="27">
                  <c:v>4580.5</c:v>
                </c:pt>
                <c:pt idx="28">
                  <c:v>5075.5</c:v>
                </c:pt>
                <c:pt idx="29">
                  <c:v>5615.5</c:v>
                </c:pt>
                <c:pt idx="30">
                  <c:v>5544.5</c:v>
                </c:pt>
                <c:pt idx="31">
                  <c:v>5736.5</c:v>
                </c:pt>
                <c:pt idx="32">
                  <c:v>5934.5</c:v>
                </c:pt>
                <c:pt idx="33">
                  <c:v>6138.5</c:v>
                </c:pt>
                <c:pt idx="34">
                  <c:v>6348.5</c:v>
                </c:pt>
                <c:pt idx="35">
                  <c:v>6564.5</c:v>
                </c:pt>
                <c:pt idx="36">
                  <c:v>6786.5</c:v>
                </c:pt>
                <c:pt idx="37">
                  <c:v>7014.5</c:v>
                </c:pt>
                <c:pt idx="38">
                  <c:v>7248.5</c:v>
                </c:pt>
                <c:pt idx="39">
                  <c:v>7488.5</c:v>
                </c:pt>
                <c:pt idx="40">
                  <c:v>7734.5</c:v>
                </c:pt>
                <c:pt idx="41">
                  <c:v>7986.5</c:v>
                </c:pt>
                <c:pt idx="42">
                  <c:v>8244.5</c:v>
                </c:pt>
                <c:pt idx="43">
                  <c:v>8508.5</c:v>
                </c:pt>
                <c:pt idx="44">
                  <c:v>8778.5</c:v>
                </c:pt>
                <c:pt idx="45">
                  <c:v>9054.5</c:v>
                </c:pt>
                <c:pt idx="46">
                  <c:v>9336.5</c:v>
                </c:pt>
                <c:pt idx="47">
                  <c:v>9624.5</c:v>
                </c:pt>
                <c:pt idx="48">
                  <c:v>9918.5</c:v>
                </c:pt>
                <c:pt idx="49">
                  <c:v>10218.5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3007440"/>
        <c:axId val="1773006352"/>
      </c:barChart>
      <c:lineChart>
        <c:grouping val="standard"/>
        <c:varyColors val="0"/>
        <c:ser>
          <c:idx val="4"/>
          <c:order val="2"/>
          <c:tx>
            <c:strRef>
              <c:f>killXP!$D$6</c:f>
              <c:strCache>
                <c:ptCount val="1"/>
                <c:pt idx="0">
                  <c:v>修正前单杀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killXP!$D$7:$D$56</c:f>
              <c:numCache>
                <c:formatCode>0.00%</c:formatCode>
                <c:ptCount val="50"/>
                <c:pt idx="0">
                  <c:v>0.22222222222222221</c:v>
                </c:pt>
                <c:pt idx="1">
                  <c:v>0.17030303030303032</c:v>
                </c:pt>
                <c:pt idx="2">
                  <c:v>0.19088888888888891</c:v>
                </c:pt>
                <c:pt idx="3">
                  <c:v>0.2257142857142857</c:v>
                </c:pt>
                <c:pt idx="4">
                  <c:v>0.29966101694915254</c:v>
                </c:pt>
                <c:pt idx="5">
                  <c:v>0.31067567567567567</c:v>
                </c:pt>
                <c:pt idx="6">
                  <c:v>0.37531645569620253</c:v>
                </c:pt>
                <c:pt idx="7">
                  <c:v>0.43761904761904757</c:v>
                </c:pt>
                <c:pt idx="8">
                  <c:v>0.4979775280898876</c:v>
                </c:pt>
                <c:pt idx="9">
                  <c:v>0.55670212765957439</c:v>
                </c:pt>
                <c:pt idx="10">
                  <c:v>0.56813084112149526</c:v>
                </c:pt>
                <c:pt idx="11">
                  <c:v>0.58683333333333332</c:v>
                </c:pt>
                <c:pt idx="12">
                  <c:v>0.56996491228070167</c:v>
                </c:pt>
                <c:pt idx="13">
                  <c:v>0.6067419354838709</c:v>
                </c:pt>
                <c:pt idx="14">
                  <c:v>0.64474626865671647</c:v>
                </c:pt>
                <c:pt idx="15">
                  <c:v>0.68372222222222223</c:v>
                </c:pt>
                <c:pt idx="16">
                  <c:v>0.7234805194805195</c:v>
                </c:pt>
                <c:pt idx="17">
                  <c:v>0.78297499999999998</c:v>
                </c:pt>
                <c:pt idx="18">
                  <c:v>0.83538277511961723</c:v>
                </c:pt>
                <c:pt idx="19">
                  <c:v>0.9209761904761905</c:v>
                </c:pt>
                <c:pt idx="20">
                  <c:v>0.9034255319148935</c:v>
                </c:pt>
                <c:pt idx="21">
                  <c:v>0.897903846153846</c:v>
                </c:pt>
                <c:pt idx="22">
                  <c:v>0.90124561403508763</c:v>
                </c:pt>
                <c:pt idx="23">
                  <c:v>0.91130645161290313</c:v>
                </c:pt>
                <c:pt idx="24">
                  <c:v>0.88687142857142853</c:v>
                </c:pt>
                <c:pt idx="25">
                  <c:v>0.75978888888888885</c:v>
                </c:pt>
                <c:pt idx="26">
                  <c:v>0.69528181818181811</c:v>
                </c:pt>
                <c:pt idx="27">
                  <c:v>0.66446923076923081</c:v>
                </c:pt>
                <c:pt idx="28">
                  <c:v>0.65387333333333331</c:v>
                </c:pt>
                <c:pt idx="29">
                  <c:v>0.89984677419354842</c:v>
                </c:pt>
                <c:pt idx="30">
                  <c:v>0.86442968750000004</c:v>
                </c:pt>
                <c:pt idx="31">
                  <c:v>0.86732575757575758</c:v>
                </c:pt>
                <c:pt idx="32">
                  <c:v>0.87093382352941184</c:v>
                </c:pt>
                <c:pt idx="33">
                  <c:v>0.87519285714285722</c:v>
                </c:pt>
                <c:pt idx="34">
                  <c:v>0.88004861111111121</c:v>
                </c:pt>
                <c:pt idx="35">
                  <c:v>0.88545270270270271</c:v>
                </c:pt>
                <c:pt idx="36">
                  <c:v>0.89136184210526326</c:v>
                </c:pt>
                <c:pt idx="37">
                  <c:v>0.89773717948717957</c:v>
                </c:pt>
                <c:pt idx="38">
                  <c:v>0.90454375000000009</c:v>
                </c:pt>
                <c:pt idx="39">
                  <c:v>0.91175000000000006</c:v>
                </c:pt>
                <c:pt idx="40">
                  <c:v>0.91932738095238087</c:v>
                </c:pt>
                <c:pt idx="41">
                  <c:v>0.92724999999999991</c:v>
                </c:pt>
                <c:pt idx="42">
                  <c:v>0.93549431818181805</c:v>
                </c:pt>
                <c:pt idx="43">
                  <c:v>0.94403888888888876</c:v>
                </c:pt>
                <c:pt idx="44">
                  <c:v>0.95286413043478246</c:v>
                </c:pt>
                <c:pt idx="45">
                  <c:v>0.96195212765957427</c:v>
                </c:pt>
                <c:pt idx="46">
                  <c:v>0.97128645833333316</c:v>
                </c:pt>
                <c:pt idx="47">
                  <c:v>0.98085204081632638</c:v>
                </c:pt>
                <c:pt idx="48">
                  <c:v>0.99063499999999982</c:v>
                </c:pt>
                <c:pt idx="49">
                  <c:v>1.0006225490196077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killXP!$E$6</c:f>
              <c:strCache>
                <c:ptCount val="1"/>
                <c:pt idx="0">
                  <c:v>修正后单杀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killXP!$E$7:$E$56</c:f>
              <c:numCache>
                <c:formatCode>0.00%</c:formatCode>
                <c:ptCount val="50"/>
                <c:pt idx="0">
                  <c:v>0.22222222222222221</c:v>
                </c:pt>
                <c:pt idx="1">
                  <c:v>0.17030303030303032</c:v>
                </c:pt>
                <c:pt idx="2">
                  <c:v>0.17895833333333336</c:v>
                </c:pt>
                <c:pt idx="3">
                  <c:v>0.20492063492063492</c:v>
                </c:pt>
                <c:pt idx="4">
                  <c:v>0.23820512820512818</c:v>
                </c:pt>
                <c:pt idx="5">
                  <c:v>0.30476190476190479</c:v>
                </c:pt>
                <c:pt idx="6">
                  <c:v>0.36844444444444441</c:v>
                </c:pt>
                <c:pt idx="7">
                  <c:v>0.42979166666666663</c:v>
                </c:pt>
                <c:pt idx="8">
                  <c:v>0.48921568627450979</c:v>
                </c:pt>
                <c:pt idx="9">
                  <c:v>0.54703703703703699</c:v>
                </c:pt>
                <c:pt idx="10">
                  <c:v>0.5982608695652174</c:v>
                </c:pt>
                <c:pt idx="11">
                  <c:v>0.60884615384615381</c:v>
                </c:pt>
                <c:pt idx="12">
                  <c:v>0.62655172413793103</c:v>
                </c:pt>
                <c:pt idx="13">
                  <c:v>0.64937500000000004</c:v>
                </c:pt>
                <c:pt idx="14">
                  <c:v>0.67600000000000005</c:v>
                </c:pt>
                <c:pt idx="15">
                  <c:v>0.70552631578947367</c:v>
                </c:pt>
                <c:pt idx="16">
                  <c:v>0.75575000000000003</c:v>
                </c:pt>
                <c:pt idx="17">
                  <c:v>0.80547619047619046</c:v>
                </c:pt>
                <c:pt idx="18">
                  <c:v>0.85477272727272724</c:v>
                </c:pt>
                <c:pt idx="19">
                  <c:v>0.86604166666666671</c:v>
                </c:pt>
                <c:pt idx="20">
                  <c:v>0.88249999999999995</c:v>
                </c:pt>
                <c:pt idx="21">
                  <c:v>0.90303571428571427</c:v>
                </c:pt>
                <c:pt idx="22">
                  <c:v>0.92683333333333329</c:v>
                </c:pt>
                <c:pt idx="23">
                  <c:v>0.87157142857142855</c:v>
                </c:pt>
                <c:pt idx="24">
                  <c:v>0.84137499999999998</c:v>
                </c:pt>
                <c:pt idx="25">
                  <c:v>0.8278888888888889</c:v>
                </c:pt>
                <c:pt idx="26">
                  <c:v>0.82609999999999995</c:v>
                </c:pt>
                <c:pt idx="27">
                  <c:v>0.83281818181818179</c:v>
                </c:pt>
                <c:pt idx="28">
                  <c:v>0.84591666666666665</c:v>
                </c:pt>
                <c:pt idx="29">
                  <c:v>0.90572580645161294</c:v>
                </c:pt>
                <c:pt idx="30">
                  <c:v>0.866328125</c:v>
                </c:pt>
                <c:pt idx="31">
                  <c:v>0.86916666666666664</c:v>
                </c:pt>
                <c:pt idx="32">
                  <c:v>0.87272058823529408</c:v>
                </c:pt>
                <c:pt idx="33">
                  <c:v>0.87692857142857139</c:v>
                </c:pt>
                <c:pt idx="34">
                  <c:v>0.88173611111111116</c:v>
                </c:pt>
                <c:pt idx="35">
                  <c:v>0.88709459459459461</c:v>
                </c:pt>
                <c:pt idx="36">
                  <c:v>0.89296052631578948</c:v>
                </c:pt>
                <c:pt idx="37">
                  <c:v>0.89929487179487178</c:v>
                </c:pt>
                <c:pt idx="38">
                  <c:v>0.90606249999999999</c:v>
                </c:pt>
                <c:pt idx="39">
                  <c:v>0.91323170731707315</c:v>
                </c:pt>
                <c:pt idx="40">
                  <c:v>0.92077380952380949</c:v>
                </c:pt>
                <c:pt idx="41">
                  <c:v>0.92866279069767443</c:v>
                </c:pt>
                <c:pt idx="42">
                  <c:v>0.93687500000000001</c:v>
                </c:pt>
                <c:pt idx="43">
                  <c:v>0.94538888888888883</c:v>
                </c:pt>
                <c:pt idx="44">
                  <c:v>0.95418478260869566</c:v>
                </c:pt>
                <c:pt idx="45">
                  <c:v>0.96324468085106385</c:v>
                </c:pt>
                <c:pt idx="46">
                  <c:v>0.97255208333333332</c:v>
                </c:pt>
                <c:pt idx="47">
                  <c:v>0.98209183673469391</c:v>
                </c:pt>
                <c:pt idx="48">
                  <c:v>0.99185000000000001</c:v>
                </c:pt>
                <c:pt idx="49">
                  <c:v>1.001813725490196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killXP!$F$6</c:f>
              <c:strCache>
                <c:ptCount val="1"/>
                <c:pt idx="0">
                  <c:v>修正前50级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killXP!$F$7:$F$56</c:f>
              <c:numCache>
                <c:formatCode>0.00%</c:formatCode>
                <c:ptCount val="50"/>
                <c:pt idx="5">
                  <c:v>13.792364864864863</c:v>
                </c:pt>
                <c:pt idx="6">
                  <c:v>12.919430379746833</c:v>
                </c:pt>
                <c:pt idx="7">
                  <c:v>12.150416666666665</c:v>
                </c:pt>
                <c:pt idx="8">
                  <c:v>11.467808988764043</c:v>
                </c:pt>
                <c:pt idx="9">
                  <c:v>10.857819148936169</c:v>
                </c:pt>
                <c:pt idx="10">
                  <c:v>9.5386448598130826</c:v>
                </c:pt>
                <c:pt idx="11">
                  <c:v>8.5052916666666647</c:v>
                </c:pt>
                <c:pt idx="12">
                  <c:v>7.1623508771929814</c:v>
                </c:pt>
                <c:pt idx="13">
                  <c:v>6.5847419354838701</c:v>
                </c:pt>
                <c:pt idx="14">
                  <c:v>6.0933432835820884</c:v>
                </c:pt>
                <c:pt idx="15">
                  <c:v>5.6701944444444434</c:v>
                </c:pt>
                <c:pt idx="16">
                  <c:v>5.3019999999999996</c:v>
                </c:pt>
                <c:pt idx="17">
                  <c:v>5.1031749999999994</c:v>
                </c:pt>
                <c:pt idx="18">
                  <c:v>4.8834210526315784</c:v>
                </c:pt>
                <c:pt idx="19">
                  <c:v>4.8601666666666663</c:v>
                </c:pt>
                <c:pt idx="20">
                  <c:v>4.3431276595744679</c:v>
                </c:pt>
                <c:pt idx="21">
                  <c:v>3.9255192307692304</c:v>
                </c:pt>
                <c:pt idx="22">
                  <c:v>3.5811754385964907</c:v>
                </c:pt>
                <c:pt idx="23">
                  <c:v>3.2923709677419351</c:v>
                </c:pt>
                <c:pt idx="24">
                  <c:v>2.9160999999999997</c:v>
                </c:pt>
                <c:pt idx="25">
                  <c:v>2.2680777777777776</c:v>
                </c:pt>
                <c:pt idx="26">
                  <c:v>1.8556999999999997</c:v>
                </c:pt>
                <c:pt idx="27">
                  <c:v>1.5702076923076922</c:v>
                </c:pt>
                <c:pt idx="28">
                  <c:v>1.3608466666666665</c:v>
                </c:pt>
                <c:pt idx="29">
                  <c:v>1.6461854838709675</c:v>
                </c:pt>
                <c:pt idx="30">
                  <c:v>1.5947421874999999</c:v>
                </c:pt>
                <c:pt idx="31">
                  <c:v>1.5464166666666666</c:v>
                </c:pt>
                <c:pt idx="32">
                  <c:v>1.5009338235294116</c:v>
                </c:pt>
                <c:pt idx="33">
                  <c:v>1.4580499999999998</c:v>
                </c:pt>
                <c:pt idx="34">
                  <c:v>1.4175486111111109</c:v>
                </c:pt>
                <c:pt idx="35">
                  <c:v>1.3792364864864863</c:v>
                </c:pt>
                <c:pt idx="36">
                  <c:v>1.342940789473684</c:v>
                </c:pt>
                <c:pt idx="37">
                  <c:v>1.3085064102564101</c:v>
                </c:pt>
                <c:pt idx="38">
                  <c:v>1.2757937499999998</c:v>
                </c:pt>
                <c:pt idx="39">
                  <c:v>1.2446768292682926</c:v>
                </c:pt>
                <c:pt idx="40">
                  <c:v>1.2150416666666666</c:v>
                </c:pt>
                <c:pt idx="41">
                  <c:v>1.1867848837209301</c:v>
                </c:pt>
                <c:pt idx="42">
                  <c:v>1.1598124999999999</c:v>
                </c:pt>
                <c:pt idx="43">
                  <c:v>1.1340388888888888</c:v>
                </c:pt>
                <c:pt idx="44">
                  <c:v>1.1093858695652172</c:v>
                </c:pt>
                <c:pt idx="45">
                  <c:v>1.085781914893617</c:v>
                </c:pt>
                <c:pt idx="46">
                  <c:v>1.0631614583333331</c:v>
                </c:pt>
                <c:pt idx="47">
                  <c:v>1.0414642857142855</c:v>
                </c:pt>
                <c:pt idx="48">
                  <c:v>1.020635</c:v>
                </c:pt>
                <c:pt idx="49">
                  <c:v>1.0006225490196077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killXP!$G$6</c:f>
              <c:strCache>
                <c:ptCount val="1"/>
                <c:pt idx="0">
                  <c:v>修正后50级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killXP!$G$7:$G$56</c:f>
              <c:numCache>
                <c:formatCode>0.00%</c:formatCode>
                <c:ptCount val="50"/>
                <c:pt idx="5">
                  <c:v>12.164880952380953</c:v>
                </c:pt>
                <c:pt idx="6">
                  <c:v>11.353888888888889</c:v>
                </c:pt>
                <c:pt idx="7">
                  <c:v>10.644270833333334</c:v>
                </c:pt>
                <c:pt idx="8">
                  <c:v>10.01813725490196</c:v>
                </c:pt>
                <c:pt idx="9">
                  <c:v>9.4615740740740737</c:v>
                </c:pt>
                <c:pt idx="10">
                  <c:v>8.8856521739130443</c:v>
                </c:pt>
                <c:pt idx="11">
                  <c:v>7.8603846153846151</c:v>
                </c:pt>
                <c:pt idx="12">
                  <c:v>7.0472413793103446</c:v>
                </c:pt>
                <c:pt idx="13">
                  <c:v>6.3865625000000001</c:v>
                </c:pt>
                <c:pt idx="14">
                  <c:v>5.839142857142857</c:v>
                </c:pt>
                <c:pt idx="15">
                  <c:v>5.3781578947368418</c:v>
                </c:pt>
                <c:pt idx="16">
                  <c:v>5.1092500000000003</c:v>
                </c:pt>
                <c:pt idx="17">
                  <c:v>4.8659523809523808</c:v>
                </c:pt>
                <c:pt idx="18">
                  <c:v>4.6447727272727271</c:v>
                </c:pt>
                <c:pt idx="19">
                  <c:v>4.2577083333333334</c:v>
                </c:pt>
                <c:pt idx="20">
                  <c:v>3.9301923076923075</c:v>
                </c:pt>
                <c:pt idx="21">
                  <c:v>3.6494642857142856</c:v>
                </c:pt>
                <c:pt idx="22">
                  <c:v>3.4061666666666666</c:v>
                </c:pt>
                <c:pt idx="23">
                  <c:v>2.9195714285714285</c:v>
                </c:pt>
                <c:pt idx="24">
                  <c:v>2.5546250000000001</c:v>
                </c:pt>
                <c:pt idx="25">
                  <c:v>2.2707777777777776</c:v>
                </c:pt>
                <c:pt idx="26">
                  <c:v>2.0436999999999999</c:v>
                </c:pt>
                <c:pt idx="27">
                  <c:v>1.857909090909091</c:v>
                </c:pt>
                <c:pt idx="28">
                  <c:v>1.7030833333333333</c:v>
                </c:pt>
                <c:pt idx="29">
                  <c:v>1.6481451612903226</c:v>
                </c:pt>
                <c:pt idx="30">
                  <c:v>1.596640625</c:v>
                </c:pt>
                <c:pt idx="31">
                  <c:v>1.5482575757575758</c:v>
                </c:pt>
                <c:pt idx="32">
                  <c:v>1.5027205882352941</c:v>
                </c:pt>
                <c:pt idx="33">
                  <c:v>1.4597857142857142</c:v>
                </c:pt>
                <c:pt idx="34">
                  <c:v>1.4192361111111111</c:v>
                </c:pt>
                <c:pt idx="35">
                  <c:v>1.3808783783783785</c:v>
                </c:pt>
                <c:pt idx="36">
                  <c:v>1.3445394736842105</c:v>
                </c:pt>
                <c:pt idx="37">
                  <c:v>1.3100641025641027</c:v>
                </c:pt>
                <c:pt idx="38">
                  <c:v>1.2773125000000001</c:v>
                </c:pt>
                <c:pt idx="39">
                  <c:v>1.2461585365853658</c:v>
                </c:pt>
                <c:pt idx="40">
                  <c:v>1.2164880952380952</c:v>
                </c:pt>
                <c:pt idx="41">
                  <c:v>1.1881976744186047</c:v>
                </c:pt>
                <c:pt idx="42">
                  <c:v>1.1611931818181818</c:v>
                </c:pt>
                <c:pt idx="43">
                  <c:v>1.1353888888888888</c:v>
                </c:pt>
                <c:pt idx="44">
                  <c:v>1.1107065217391305</c:v>
                </c:pt>
                <c:pt idx="45">
                  <c:v>1.0870744680851063</c:v>
                </c:pt>
                <c:pt idx="46">
                  <c:v>1.0644270833333334</c:v>
                </c:pt>
                <c:pt idx="47">
                  <c:v>1.0427040816326532</c:v>
                </c:pt>
                <c:pt idx="48">
                  <c:v>1.0218499999999999</c:v>
                </c:pt>
                <c:pt idx="49">
                  <c:v>1.001813725490196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3005264"/>
        <c:axId val="1773003088"/>
      </c:lineChart>
      <c:valAx>
        <c:axId val="1773006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73007440"/>
        <c:crosses val="autoZero"/>
        <c:crossBetween val="between"/>
      </c:valAx>
      <c:catAx>
        <c:axId val="1773007440"/>
        <c:scaling>
          <c:orientation val="minMax"/>
        </c:scaling>
        <c:delete val="1"/>
        <c:axPos val="b"/>
        <c:majorTickMark val="out"/>
        <c:minorTickMark val="none"/>
        <c:tickLblPos val="nextTo"/>
        <c:crossAx val="1773006352"/>
        <c:crosses val="autoZero"/>
        <c:auto val="1"/>
        <c:lblAlgn val="ctr"/>
        <c:lblOffset val="100"/>
        <c:noMultiLvlLbl val="0"/>
      </c:catAx>
      <c:valAx>
        <c:axId val="1773003088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73005264"/>
        <c:crosses val="max"/>
        <c:crossBetween val="between"/>
      </c:valAx>
      <c:catAx>
        <c:axId val="1773005264"/>
        <c:scaling>
          <c:orientation val="minMax"/>
        </c:scaling>
        <c:delete val="1"/>
        <c:axPos val="b"/>
        <c:majorTickMark val="out"/>
        <c:minorTickMark val="none"/>
        <c:tickLblPos val="nextTo"/>
        <c:crossAx val="17730030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复活时间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respawntime!$A$2</c:f>
              <c:strCache>
                <c:ptCount val="1"/>
                <c:pt idx="0">
                  <c:v>旧120%</c:v>
                </c:pt>
              </c:strCache>
            </c:strRef>
          </c:tx>
          <c:spPr>
            <a:ln w="28575" cap="rnd">
              <a:solidFill>
                <a:schemeClr val="accent1">
                  <a:shade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respawntime!$B$2:$AY$2</c:f>
              <c:numCache>
                <c:formatCode>General</c:formatCode>
                <c:ptCount val="50"/>
                <c:pt idx="0">
                  <c:v>4.8</c:v>
                </c:pt>
                <c:pt idx="1">
                  <c:v>7.1999999999999993</c:v>
                </c:pt>
                <c:pt idx="2">
                  <c:v>9.6</c:v>
                </c:pt>
                <c:pt idx="3">
                  <c:v>12</c:v>
                </c:pt>
                <c:pt idx="4">
                  <c:v>14.399999999999999</c:v>
                </c:pt>
                <c:pt idx="5">
                  <c:v>16.8</c:v>
                </c:pt>
                <c:pt idx="6">
                  <c:v>19.2</c:v>
                </c:pt>
                <c:pt idx="7">
                  <c:v>21.599999999999998</c:v>
                </c:pt>
                <c:pt idx="8">
                  <c:v>24</c:v>
                </c:pt>
                <c:pt idx="9">
                  <c:v>26.4</c:v>
                </c:pt>
                <c:pt idx="10">
                  <c:v>28.799999999999997</c:v>
                </c:pt>
                <c:pt idx="11">
                  <c:v>31.2</c:v>
                </c:pt>
                <c:pt idx="12">
                  <c:v>33.6</c:v>
                </c:pt>
                <c:pt idx="13">
                  <c:v>36</c:v>
                </c:pt>
                <c:pt idx="14">
                  <c:v>38.4</c:v>
                </c:pt>
                <c:pt idx="15">
                  <c:v>40.799999999999997</c:v>
                </c:pt>
                <c:pt idx="16">
                  <c:v>43.199999999999996</c:v>
                </c:pt>
                <c:pt idx="17">
                  <c:v>45.6</c:v>
                </c:pt>
                <c:pt idx="18">
                  <c:v>48</c:v>
                </c:pt>
                <c:pt idx="19">
                  <c:v>50.4</c:v>
                </c:pt>
                <c:pt idx="20">
                  <c:v>52.8</c:v>
                </c:pt>
                <c:pt idx="21">
                  <c:v>55.199999999999996</c:v>
                </c:pt>
                <c:pt idx="22">
                  <c:v>57.599999999999994</c:v>
                </c:pt>
                <c:pt idx="23">
                  <c:v>60</c:v>
                </c:pt>
                <c:pt idx="24">
                  <c:v>61.199999999999996</c:v>
                </c:pt>
                <c:pt idx="25">
                  <c:v>62.4</c:v>
                </c:pt>
                <c:pt idx="26">
                  <c:v>63.599999999999994</c:v>
                </c:pt>
                <c:pt idx="27">
                  <c:v>64.8</c:v>
                </c:pt>
                <c:pt idx="28">
                  <c:v>66</c:v>
                </c:pt>
                <c:pt idx="29">
                  <c:v>67.2</c:v>
                </c:pt>
                <c:pt idx="30">
                  <c:v>68.399999999999991</c:v>
                </c:pt>
                <c:pt idx="31">
                  <c:v>69.599999999999994</c:v>
                </c:pt>
                <c:pt idx="32">
                  <c:v>70.8</c:v>
                </c:pt>
                <c:pt idx="33">
                  <c:v>72</c:v>
                </c:pt>
                <c:pt idx="34">
                  <c:v>73.2</c:v>
                </c:pt>
                <c:pt idx="35">
                  <c:v>74.399999999999991</c:v>
                </c:pt>
                <c:pt idx="36">
                  <c:v>75.599999999999994</c:v>
                </c:pt>
                <c:pt idx="37">
                  <c:v>76.8</c:v>
                </c:pt>
                <c:pt idx="38">
                  <c:v>78</c:v>
                </c:pt>
                <c:pt idx="39">
                  <c:v>78</c:v>
                </c:pt>
                <c:pt idx="40" formatCode="0">
                  <c:v>79.2</c:v>
                </c:pt>
                <c:pt idx="41" formatCode="0">
                  <c:v>79.2</c:v>
                </c:pt>
                <c:pt idx="42" formatCode="0">
                  <c:v>80.399999999999991</c:v>
                </c:pt>
                <c:pt idx="43" formatCode="0">
                  <c:v>80.399999999999991</c:v>
                </c:pt>
                <c:pt idx="44" formatCode="0">
                  <c:v>81.599999999999994</c:v>
                </c:pt>
                <c:pt idx="45" formatCode="0">
                  <c:v>81.599999999999994</c:v>
                </c:pt>
                <c:pt idx="46" formatCode="0">
                  <c:v>82.8</c:v>
                </c:pt>
                <c:pt idx="47" formatCode="0">
                  <c:v>82.8</c:v>
                </c:pt>
                <c:pt idx="48" formatCode="0">
                  <c:v>84</c:v>
                </c:pt>
                <c:pt idx="49" formatCode="0">
                  <c:v>84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respawntime!$A$3</c:f>
              <c:strCache>
                <c:ptCount val="1"/>
                <c:pt idx="0">
                  <c:v>旧100%</c:v>
                </c:pt>
              </c:strCache>
            </c:strRef>
          </c:tx>
          <c:spPr>
            <a:ln w="28575" cap="rnd">
              <a:solidFill>
                <a:schemeClr val="accent1">
                  <a:shade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respawntime!$B$3:$AY$3</c:f>
              <c:numCache>
                <c:formatCode>General</c:formatCode>
                <c:ptCount val="50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22</c:v>
                </c:pt>
                <c:pt idx="10">
                  <c:v>24</c:v>
                </c:pt>
                <c:pt idx="11">
                  <c:v>26</c:v>
                </c:pt>
                <c:pt idx="12">
                  <c:v>28</c:v>
                </c:pt>
                <c:pt idx="13">
                  <c:v>30</c:v>
                </c:pt>
                <c:pt idx="14">
                  <c:v>32</c:v>
                </c:pt>
                <c:pt idx="15">
                  <c:v>34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44</c:v>
                </c:pt>
                <c:pt idx="21">
                  <c:v>46</c:v>
                </c:pt>
                <c:pt idx="22">
                  <c:v>48</c:v>
                </c:pt>
                <c:pt idx="23">
                  <c:v>50</c:v>
                </c:pt>
                <c:pt idx="24">
                  <c:v>51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57</c:v>
                </c:pt>
                <c:pt idx="31">
                  <c:v>58</c:v>
                </c:pt>
                <c:pt idx="32">
                  <c:v>59</c:v>
                </c:pt>
                <c:pt idx="33">
                  <c:v>60</c:v>
                </c:pt>
                <c:pt idx="34">
                  <c:v>61</c:v>
                </c:pt>
                <c:pt idx="35">
                  <c:v>62</c:v>
                </c:pt>
                <c:pt idx="36">
                  <c:v>63</c:v>
                </c:pt>
                <c:pt idx="37">
                  <c:v>64</c:v>
                </c:pt>
                <c:pt idx="38">
                  <c:v>65</c:v>
                </c:pt>
                <c:pt idx="39">
                  <c:v>65</c:v>
                </c:pt>
                <c:pt idx="40" formatCode="0">
                  <c:v>66</c:v>
                </c:pt>
                <c:pt idx="41" formatCode="0">
                  <c:v>66</c:v>
                </c:pt>
                <c:pt idx="42" formatCode="0">
                  <c:v>67</c:v>
                </c:pt>
                <c:pt idx="43" formatCode="0">
                  <c:v>67</c:v>
                </c:pt>
                <c:pt idx="44" formatCode="0">
                  <c:v>68</c:v>
                </c:pt>
                <c:pt idx="45" formatCode="0">
                  <c:v>68</c:v>
                </c:pt>
                <c:pt idx="46" formatCode="0">
                  <c:v>69</c:v>
                </c:pt>
                <c:pt idx="47" formatCode="0">
                  <c:v>69</c:v>
                </c:pt>
                <c:pt idx="48" formatCode="0">
                  <c:v>70</c:v>
                </c:pt>
                <c:pt idx="49" formatCode="0">
                  <c:v>70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respawntime!$A$4</c:f>
              <c:strCache>
                <c:ptCount val="1"/>
                <c:pt idx="0">
                  <c:v>旧80%</c:v>
                </c:pt>
              </c:strCache>
            </c:strRef>
          </c:tx>
          <c:spPr>
            <a:ln w="28575" cap="rnd">
              <a:solidFill>
                <a:schemeClr val="accent1">
                  <a:shade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respawntime!$B$4:$AY$4</c:f>
              <c:numCache>
                <c:formatCode>General</c:formatCode>
                <c:ptCount val="50"/>
                <c:pt idx="0">
                  <c:v>3.2</c:v>
                </c:pt>
                <c:pt idx="1">
                  <c:v>4.8000000000000007</c:v>
                </c:pt>
                <c:pt idx="2">
                  <c:v>6.4</c:v>
                </c:pt>
                <c:pt idx="3">
                  <c:v>8</c:v>
                </c:pt>
                <c:pt idx="4">
                  <c:v>9.6000000000000014</c:v>
                </c:pt>
                <c:pt idx="5">
                  <c:v>11.200000000000001</c:v>
                </c:pt>
                <c:pt idx="6">
                  <c:v>12.8</c:v>
                </c:pt>
                <c:pt idx="7">
                  <c:v>14.4</c:v>
                </c:pt>
                <c:pt idx="8">
                  <c:v>16</c:v>
                </c:pt>
                <c:pt idx="9">
                  <c:v>17.600000000000001</c:v>
                </c:pt>
                <c:pt idx="10">
                  <c:v>19.200000000000003</c:v>
                </c:pt>
                <c:pt idx="11">
                  <c:v>20.8</c:v>
                </c:pt>
                <c:pt idx="12">
                  <c:v>22.400000000000002</c:v>
                </c:pt>
                <c:pt idx="13">
                  <c:v>24</c:v>
                </c:pt>
                <c:pt idx="14">
                  <c:v>25.6</c:v>
                </c:pt>
                <c:pt idx="15">
                  <c:v>27.200000000000003</c:v>
                </c:pt>
                <c:pt idx="16">
                  <c:v>28.8</c:v>
                </c:pt>
                <c:pt idx="17">
                  <c:v>30.400000000000002</c:v>
                </c:pt>
                <c:pt idx="18">
                  <c:v>32</c:v>
                </c:pt>
                <c:pt idx="19">
                  <c:v>33.6</c:v>
                </c:pt>
                <c:pt idx="20">
                  <c:v>35.200000000000003</c:v>
                </c:pt>
                <c:pt idx="21">
                  <c:v>36.800000000000004</c:v>
                </c:pt>
                <c:pt idx="22">
                  <c:v>38.400000000000006</c:v>
                </c:pt>
                <c:pt idx="23">
                  <c:v>40</c:v>
                </c:pt>
                <c:pt idx="24">
                  <c:v>40.800000000000004</c:v>
                </c:pt>
                <c:pt idx="25">
                  <c:v>41.6</c:v>
                </c:pt>
                <c:pt idx="26">
                  <c:v>42.400000000000006</c:v>
                </c:pt>
                <c:pt idx="27">
                  <c:v>43.2</c:v>
                </c:pt>
                <c:pt idx="28">
                  <c:v>44</c:v>
                </c:pt>
                <c:pt idx="29">
                  <c:v>44.800000000000004</c:v>
                </c:pt>
                <c:pt idx="30">
                  <c:v>45.6</c:v>
                </c:pt>
                <c:pt idx="31">
                  <c:v>46.400000000000006</c:v>
                </c:pt>
                <c:pt idx="32">
                  <c:v>47.2</c:v>
                </c:pt>
                <c:pt idx="33">
                  <c:v>48</c:v>
                </c:pt>
                <c:pt idx="34">
                  <c:v>48.800000000000004</c:v>
                </c:pt>
                <c:pt idx="35">
                  <c:v>49.6</c:v>
                </c:pt>
                <c:pt idx="36">
                  <c:v>50.400000000000006</c:v>
                </c:pt>
                <c:pt idx="37">
                  <c:v>51.2</c:v>
                </c:pt>
                <c:pt idx="38">
                  <c:v>52</c:v>
                </c:pt>
                <c:pt idx="39">
                  <c:v>52</c:v>
                </c:pt>
                <c:pt idx="40" formatCode="0">
                  <c:v>52.800000000000004</c:v>
                </c:pt>
                <c:pt idx="41" formatCode="0">
                  <c:v>52.800000000000004</c:v>
                </c:pt>
                <c:pt idx="42" formatCode="0">
                  <c:v>53.6</c:v>
                </c:pt>
                <c:pt idx="43" formatCode="0">
                  <c:v>53.6</c:v>
                </c:pt>
                <c:pt idx="44" formatCode="0">
                  <c:v>54.400000000000006</c:v>
                </c:pt>
                <c:pt idx="45" formatCode="0">
                  <c:v>54.400000000000006</c:v>
                </c:pt>
                <c:pt idx="46" formatCode="0">
                  <c:v>55.2</c:v>
                </c:pt>
                <c:pt idx="47" formatCode="0">
                  <c:v>55.2</c:v>
                </c:pt>
                <c:pt idx="48" formatCode="0">
                  <c:v>56</c:v>
                </c:pt>
                <c:pt idx="49" formatCode="0">
                  <c:v>56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respawntime!$A$5</c:f>
              <c:strCache>
                <c:ptCount val="1"/>
                <c:pt idx="0">
                  <c:v>慢</c:v>
                </c:pt>
              </c:strCache>
            </c:strRef>
          </c:tx>
          <c:spPr>
            <a:ln w="28575" cap="rnd">
              <a:solidFill>
                <a:schemeClr val="accent1">
                  <a:tint val="9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respawntime!$B$5:$AY$5</c:f>
              <c:numCache>
                <c:formatCode>General</c:formatCode>
                <c:ptCount val="50"/>
                <c:pt idx="0">
                  <c:v>4.8</c:v>
                </c:pt>
                <c:pt idx="1">
                  <c:v>7.1999999999999993</c:v>
                </c:pt>
                <c:pt idx="2">
                  <c:v>9.6</c:v>
                </c:pt>
                <c:pt idx="3">
                  <c:v>12</c:v>
                </c:pt>
                <c:pt idx="4">
                  <c:v>14.399999999999999</c:v>
                </c:pt>
                <c:pt idx="5">
                  <c:v>16.8</c:v>
                </c:pt>
                <c:pt idx="6">
                  <c:v>19.2</c:v>
                </c:pt>
                <c:pt idx="7">
                  <c:v>21.599999999999998</c:v>
                </c:pt>
                <c:pt idx="8">
                  <c:v>24</c:v>
                </c:pt>
                <c:pt idx="9">
                  <c:v>26.4</c:v>
                </c:pt>
                <c:pt idx="10">
                  <c:v>28.799999999999997</c:v>
                </c:pt>
                <c:pt idx="11">
                  <c:v>31.2</c:v>
                </c:pt>
                <c:pt idx="12">
                  <c:v>33.6</c:v>
                </c:pt>
                <c:pt idx="13">
                  <c:v>36</c:v>
                </c:pt>
                <c:pt idx="14">
                  <c:v>38.4</c:v>
                </c:pt>
                <c:pt idx="15">
                  <c:v>40.799999999999997</c:v>
                </c:pt>
                <c:pt idx="16">
                  <c:v>43.199999999999996</c:v>
                </c:pt>
                <c:pt idx="17">
                  <c:v>45.6</c:v>
                </c:pt>
                <c:pt idx="18">
                  <c:v>48</c:v>
                </c:pt>
                <c:pt idx="19">
                  <c:v>50.4</c:v>
                </c:pt>
                <c:pt idx="20">
                  <c:v>52.8</c:v>
                </c:pt>
                <c:pt idx="21">
                  <c:v>55.199999999999996</c:v>
                </c:pt>
                <c:pt idx="22">
                  <c:v>57.599999999999994</c:v>
                </c:pt>
                <c:pt idx="23">
                  <c:v>60</c:v>
                </c:pt>
                <c:pt idx="24">
                  <c:v>61.199999999999996</c:v>
                </c:pt>
                <c:pt idx="25">
                  <c:v>62.4</c:v>
                </c:pt>
                <c:pt idx="26">
                  <c:v>63.599999999999994</c:v>
                </c:pt>
                <c:pt idx="27">
                  <c:v>64.8</c:v>
                </c:pt>
                <c:pt idx="28">
                  <c:v>66</c:v>
                </c:pt>
                <c:pt idx="29">
                  <c:v>67.2</c:v>
                </c:pt>
                <c:pt idx="30">
                  <c:v>68.399999999999991</c:v>
                </c:pt>
                <c:pt idx="31">
                  <c:v>69.599999999999994</c:v>
                </c:pt>
                <c:pt idx="32">
                  <c:v>70.8</c:v>
                </c:pt>
                <c:pt idx="33">
                  <c:v>72</c:v>
                </c:pt>
                <c:pt idx="34">
                  <c:v>73.2</c:v>
                </c:pt>
                <c:pt idx="35">
                  <c:v>74.399999999999991</c:v>
                </c:pt>
                <c:pt idx="36">
                  <c:v>75.599999999999994</c:v>
                </c:pt>
                <c:pt idx="37">
                  <c:v>76.8</c:v>
                </c:pt>
                <c:pt idx="38">
                  <c:v>78</c:v>
                </c:pt>
                <c:pt idx="39">
                  <c:v>79.2</c:v>
                </c:pt>
                <c:pt idx="40">
                  <c:v>80.399999999999991</c:v>
                </c:pt>
                <c:pt idx="41">
                  <c:v>81.599999999999994</c:v>
                </c:pt>
                <c:pt idx="42">
                  <c:v>82.8</c:v>
                </c:pt>
                <c:pt idx="43">
                  <c:v>84</c:v>
                </c:pt>
                <c:pt idx="44">
                  <c:v>85.2</c:v>
                </c:pt>
                <c:pt idx="45">
                  <c:v>86.399999999999991</c:v>
                </c:pt>
                <c:pt idx="46">
                  <c:v>87.6</c:v>
                </c:pt>
                <c:pt idx="47">
                  <c:v>88.8</c:v>
                </c:pt>
                <c:pt idx="48">
                  <c:v>90</c:v>
                </c:pt>
                <c:pt idx="49">
                  <c:v>90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respawntime!$A$6</c:f>
              <c:strCache>
                <c:ptCount val="1"/>
                <c:pt idx="0">
                  <c:v>普通</c:v>
                </c:pt>
              </c:strCache>
            </c:strRef>
          </c:tx>
          <c:spPr>
            <a:ln w="28575" cap="rnd">
              <a:solidFill>
                <a:schemeClr val="accent1">
                  <a:tint val="7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respawntime!$B$6:$AY$6</c:f>
              <c:numCache>
                <c:formatCode>General</c:formatCode>
                <c:ptCount val="50"/>
                <c:pt idx="0">
                  <c:v>4</c:v>
                </c:pt>
                <c:pt idx="1">
                  <c:v>6</c:v>
                </c:pt>
                <c:pt idx="2">
                  <c:v>8</c:v>
                </c:pt>
                <c:pt idx="3">
                  <c:v>10</c:v>
                </c:pt>
                <c:pt idx="4">
                  <c:v>12</c:v>
                </c:pt>
                <c:pt idx="5">
                  <c:v>14</c:v>
                </c:pt>
                <c:pt idx="6">
                  <c:v>16</c:v>
                </c:pt>
                <c:pt idx="7">
                  <c:v>18</c:v>
                </c:pt>
                <c:pt idx="8">
                  <c:v>20</c:v>
                </c:pt>
                <c:pt idx="9">
                  <c:v>22</c:v>
                </c:pt>
                <c:pt idx="10">
                  <c:v>24</c:v>
                </c:pt>
                <c:pt idx="11">
                  <c:v>26</c:v>
                </c:pt>
                <c:pt idx="12">
                  <c:v>28</c:v>
                </c:pt>
                <c:pt idx="13">
                  <c:v>30</c:v>
                </c:pt>
                <c:pt idx="14">
                  <c:v>32</c:v>
                </c:pt>
                <c:pt idx="15">
                  <c:v>34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44</c:v>
                </c:pt>
                <c:pt idx="21">
                  <c:v>46</c:v>
                </c:pt>
                <c:pt idx="22">
                  <c:v>48</c:v>
                </c:pt>
                <c:pt idx="23">
                  <c:v>50</c:v>
                </c:pt>
                <c:pt idx="24">
                  <c:v>51</c:v>
                </c:pt>
                <c:pt idx="25">
                  <c:v>52</c:v>
                </c:pt>
                <c:pt idx="26">
                  <c:v>53</c:v>
                </c:pt>
                <c:pt idx="27">
                  <c:v>54</c:v>
                </c:pt>
                <c:pt idx="28">
                  <c:v>55</c:v>
                </c:pt>
                <c:pt idx="29">
                  <c:v>56</c:v>
                </c:pt>
                <c:pt idx="30">
                  <c:v>57</c:v>
                </c:pt>
                <c:pt idx="31">
                  <c:v>58</c:v>
                </c:pt>
                <c:pt idx="32">
                  <c:v>59</c:v>
                </c:pt>
                <c:pt idx="33">
                  <c:v>60</c:v>
                </c:pt>
                <c:pt idx="34">
                  <c:v>61</c:v>
                </c:pt>
                <c:pt idx="35">
                  <c:v>62</c:v>
                </c:pt>
                <c:pt idx="36">
                  <c:v>63</c:v>
                </c:pt>
                <c:pt idx="37">
                  <c:v>64</c:v>
                </c:pt>
                <c:pt idx="38">
                  <c:v>65</c:v>
                </c:pt>
                <c:pt idx="39">
                  <c:v>66</c:v>
                </c:pt>
                <c:pt idx="40" formatCode="0">
                  <c:v>67</c:v>
                </c:pt>
                <c:pt idx="41" formatCode="0">
                  <c:v>68</c:v>
                </c:pt>
                <c:pt idx="42" formatCode="0">
                  <c:v>69</c:v>
                </c:pt>
                <c:pt idx="43" formatCode="0">
                  <c:v>70</c:v>
                </c:pt>
                <c:pt idx="44" formatCode="0">
                  <c:v>71</c:v>
                </c:pt>
                <c:pt idx="45" formatCode="0">
                  <c:v>72</c:v>
                </c:pt>
                <c:pt idx="46" formatCode="0">
                  <c:v>73</c:v>
                </c:pt>
                <c:pt idx="47" formatCode="0">
                  <c:v>74</c:v>
                </c:pt>
                <c:pt idx="48" formatCode="0">
                  <c:v>75</c:v>
                </c:pt>
                <c:pt idx="49" formatCode="0">
                  <c:v>75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respawntime!$A$7</c:f>
              <c:strCache>
                <c:ptCount val="1"/>
                <c:pt idx="0">
                  <c:v>快</c:v>
                </c:pt>
              </c:strCache>
            </c:strRef>
          </c:tx>
          <c:spPr>
            <a:ln w="28575" cap="rnd">
              <a:solidFill>
                <a:schemeClr val="accent1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respawntime!$B$1:$AY$1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respawntime!$B$7:$AY$7</c:f>
              <c:numCache>
                <c:formatCode>General</c:formatCode>
                <c:ptCount val="50"/>
                <c:pt idx="0">
                  <c:v>3.2</c:v>
                </c:pt>
                <c:pt idx="1">
                  <c:v>4.8000000000000007</c:v>
                </c:pt>
                <c:pt idx="2">
                  <c:v>6.4</c:v>
                </c:pt>
                <c:pt idx="3">
                  <c:v>8</c:v>
                </c:pt>
                <c:pt idx="4">
                  <c:v>9.6000000000000014</c:v>
                </c:pt>
                <c:pt idx="5">
                  <c:v>11.200000000000001</c:v>
                </c:pt>
                <c:pt idx="6">
                  <c:v>12.8</c:v>
                </c:pt>
                <c:pt idx="7">
                  <c:v>14.4</c:v>
                </c:pt>
                <c:pt idx="8">
                  <c:v>16</c:v>
                </c:pt>
                <c:pt idx="9">
                  <c:v>17.600000000000001</c:v>
                </c:pt>
                <c:pt idx="10">
                  <c:v>19.200000000000003</c:v>
                </c:pt>
                <c:pt idx="11">
                  <c:v>20.8</c:v>
                </c:pt>
                <c:pt idx="12">
                  <c:v>22.400000000000002</c:v>
                </c:pt>
                <c:pt idx="13">
                  <c:v>24</c:v>
                </c:pt>
                <c:pt idx="14">
                  <c:v>25.6</c:v>
                </c:pt>
                <c:pt idx="15">
                  <c:v>27.200000000000003</c:v>
                </c:pt>
                <c:pt idx="16">
                  <c:v>28.8</c:v>
                </c:pt>
                <c:pt idx="17">
                  <c:v>30.400000000000002</c:v>
                </c:pt>
                <c:pt idx="18">
                  <c:v>32</c:v>
                </c:pt>
                <c:pt idx="19">
                  <c:v>33.6</c:v>
                </c:pt>
                <c:pt idx="20">
                  <c:v>35.200000000000003</c:v>
                </c:pt>
                <c:pt idx="21">
                  <c:v>36.800000000000004</c:v>
                </c:pt>
                <c:pt idx="22">
                  <c:v>38.400000000000006</c:v>
                </c:pt>
                <c:pt idx="23">
                  <c:v>40</c:v>
                </c:pt>
                <c:pt idx="24">
                  <c:v>40.800000000000004</c:v>
                </c:pt>
                <c:pt idx="25">
                  <c:v>41.6</c:v>
                </c:pt>
                <c:pt idx="26">
                  <c:v>42.400000000000006</c:v>
                </c:pt>
                <c:pt idx="27">
                  <c:v>43.2</c:v>
                </c:pt>
                <c:pt idx="28">
                  <c:v>44</c:v>
                </c:pt>
                <c:pt idx="29">
                  <c:v>44.800000000000004</c:v>
                </c:pt>
                <c:pt idx="30">
                  <c:v>45.6</c:v>
                </c:pt>
                <c:pt idx="31">
                  <c:v>46.400000000000006</c:v>
                </c:pt>
                <c:pt idx="32">
                  <c:v>47.2</c:v>
                </c:pt>
                <c:pt idx="33">
                  <c:v>48</c:v>
                </c:pt>
                <c:pt idx="34">
                  <c:v>48.800000000000004</c:v>
                </c:pt>
                <c:pt idx="35">
                  <c:v>49.6</c:v>
                </c:pt>
                <c:pt idx="36">
                  <c:v>50.400000000000006</c:v>
                </c:pt>
                <c:pt idx="37">
                  <c:v>51.2</c:v>
                </c:pt>
                <c:pt idx="38">
                  <c:v>52</c:v>
                </c:pt>
                <c:pt idx="39">
                  <c:v>52.800000000000004</c:v>
                </c:pt>
                <c:pt idx="40">
                  <c:v>53.6</c:v>
                </c:pt>
                <c:pt idx="41">
                  <c:v>54.400000000000006</c:v>
                </c:pt>
                <c:pt idx="42">
                  <c:v>55.2</c:v>
                </c:pt>
                <c:pt idx="43">
                  <c:v>56</c:v>
                </c:pt>
                <c:pt idx="44">
                  <c:v>56.800000000000004</c:v>
                </c:pt>
                <c:pt idx="45">
                  <c:v>57.6</c:v>
                </c:pt>
                <c:pt idx="46">
                  <c:v>58.400000000000006</c:v>
                </c:pt>
                <c:pt idx="47">
                  <c:v>59.2</c:v>
                </c:pt>
                <c:pt idx="48">
                  <c:v>60</c:v>
                </c:pt>
                <c:pt idx="49">
                  <c:v>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3008528"/>
        <c:axId val="1773003632"/>
      </c:lineChart>
      <c:catAx>
        <c:axId val="177300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73003632"/>
        <c:crosses val="autoZero"/>
        <c:auto val="1"/>
        <c:lblAlgn val="ctr"/>
        <c:lblOffset val="100"/>
        <c:noMultiLvlLbl val="0"/>
      </c:catAx>
      <c:valAx>
        <c:axId val="177300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73008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金钱获取</a:t>
            </a:r>
            <a:endParaRPr lang="ja-JP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killgold!$B$4:$B$5</c:f>
              <c:strCache>
                <c:ptCount val="2"/>
                <c:pt idx="0">
                  <c:v>修正前</c:v>
                </c:pt>
                <c:pt idx="1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killgold!$A$6:$A$15</c:f>
              <c:numCache>
                <c:formatCode>General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1000</c:v>
                </c:pt>
                <c:pt idx="4">
                  <c:v>2000</c:v>
                </c:pt>
                <c:pt idx="5">
                  <c:v>2000</c:v>
                </c:pt>
                <c:pt idx="6">
                  <c:v>5000</c:v>
                </c:pt>
              </c:numCache>
            </c:numRef>
          </c:xVal>
          <c:yVal>
            <c:numRef>
              <c:f>killgold!$B$6:$B$15</c:f>
              <c:numCache>
                <c:formatCode>General</c:formatCode>
                <c:ptCount val="10"/>
                <c:pt idx="0">
                  <c:v>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killgold!$D$4:$D$5</c:f>
              <c:strCache>
                <c:ptCount val="2"/>
                <c:pt idx="0">
                  <c:v>修正后</c:v>
                </c:pt>
                <c:pt idx="1">
                  <c:v>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killgold!$C$6:$C$15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800</c:v>
                </c:pt>
                <c:pt idx="4">
                  <c:v>800</c:v>
                </c:pt>
                <c:pt idx="5">
                  <c:v>1600</c:v>
                </c:pt>
                <c:pt idx="6">
                  <c:v>1600</c:v>
                </c:pt>
                <c:pt idx="7">
                  <c:v>4000</c:v>
                </c:pt>
                <c:pt idx="8">
                  <c:v>4000</c:v>
                </c:pt>
                <c:pt idx="9">
                  <c:v>5000</c:v>
                </c:pt>
              </c:numCache>
            </c:numRef>
          </c:xVal>
          <c:yVal>
            <c:numRef>
              <c:f>killgold!$D$6:$D$15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500</c:v>
                </c:pt>
                <c:pt idx="4">
                  <c:v>500</c:v>
                </c:pt>
                <c:pt idx="5">
                  <c:v>700</c:v>
                </c:pt>
                <c:pt idx="6">
                  <c:v>700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killgold!$E$4</c:f>
              <c:strCache>
                <c:ptCount val="1"/>
                <c:pt idx="0">
                  <c:v>1.37b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killgold!$E$6:$E$15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1200</c:v>
                </c:pt>
                <c:pt idx="4">
                  <c:v>1200</c:v>
                </c:pt>
                <c:pt idx="5">
                  <c:v>2000</c:v>
                </c:pt>
                <c:pt idx="6">
                  <c:v>2000</c:v>
                </c:pt>
                <c:pt idx="7">
                  <c:v>6000</c:v>
                </c:pt>
                <c:pt idx="8">
                  <c:v>7000</c:v>
                </c:pt>
              </c:numCache>
            </c:numRef>
          </c:xVal>
          <c:yVal>
            <c:numRef>
              <c:f>killgold!$F$6:$F$15</c:f>
              <c:numCache>
                <c:formatCode>General</c:formatCode>
                <c:ptCount val="10"/>
                <c:pt idx="0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700</c:v>
                </c:pt>
                <c:pt idx="4">
                  <c:v>700</c:v>
                </c:pt>
                <c:pt idx="5">
                  <c:v>900</c:v>
                </c:pt>
                <c:pt idx="6">
                  <c:v>900</c:v>
                </c:pt>
                <c:pt idx="7">
                  <c:v>1400</c:v>
                </c:pt>
                <c:pt idx="8">
                  <c:v>1400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3005808"/>
        <c:axId val="1773002544"/>
      </c:scatterChart>
      <c:valAx>
        <c:axId val="1773005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73002544"/>
        <c:crosses val="autoZero"/>
        <c:crossBetween val="midCat"/>
      </c:valAx>
      <c:valAx>
        <c:axId val="177300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73005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2</xdr:row>
      <xdr:rowOff>114300</xdr:rowOff>
    </xdr:from>
    <xdr:to>
      <xdr:col>27</xdr:col>
      <xdr:colOff>419100</xdr:colOff>
      <xdr:row>26</xdr:row>
      <xdr:rowOff>80962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104775</xdr:colOff>
      <xdr:row>26</xdr:row>
      <xdr:rowOff>161924</xdr:rowOff>
    </xdr:from>
    <xdr:to>
      <xdr:col>27</xdr:col>
      <xdr:colOff>428625</xdr:colOff>
      <xdr:row>51</xdr:row>
      <xdr:rowOff>161925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4</xdr:row>
      <xdr:rowOff>47624</xdr:rowOff>
    </xdr:from>
    <xdr:to>
      <xdr:col>25</xdr:col>
      <xdr:colOff>628650</xdr:colOff>
      <xdr:row>44</xdr:row>
      <xdr:rowOff>38099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57149</xdr:colOff>
      <xdr:row>9</xdr:row>
      <xdr:rowOff>152401</xdr:rowOff>
    </xdr:from>
    <xdr:to>
      <xdr:col>38</xdr:col>
      <xdr:colOff>85724</xdr:colOff>
      <xdr:row>36</xdr:row>
      <xdr:rowOff>119063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104775</xdr:colOff>
      <xdr:row>1</xdr:row>
      <xdr:rowOff>100012</xdr:rowOff>
    </xdr:from>
    <xdr:to>
      <xdr:col>13</xdr:col>
      <xdr:colOff>561975</xdr:colOff>
      <xdr:row>17</xdr:row>
      <xdr:rowOff>100012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02"/>
  <sheetViews>
    <sheetView workbookViewId="0">
      <selection activeCell="F25" sqref="F25"/>
    </sheetView>
  </sheetViews>
  <sheetFormatPr defaultRowHeight="13.5" x14ac:dyDescent="0.15"/>
  <cols>
    <col min="9" max="10" width="9" style="26"/>
    <col min="11" max="11" width="9.875" style="26" bestFit="1" customWidth="1"/>
  </cols>
  <sheetData>
    <row r="1" spans="1:11" x14ac:dyDescent="0.15">
      <c r="A1" t="s">
        <v>0</v>
      </c>
      <c r="E1" t="s">
        <v>2</v>
      </c>
      <c r="G1" t="s">
        <v>3</v>
      </c>
      <c r="I1" s="26" t="s">
        <v>18</v>
      </c>
      <c r="J1" s="27" t="s">
        <v>4</v>
      </c>
      <c r="K1" s="27" t="s">
        <v>16</v>
      </c>
    </row>
    <row r="2" spans="1:11" x14ac:dyDescent="0.15">
      <c r="E2" t="s">
        <v>26</v>
      </c>
      <c r="F2" t="s">
        <v>27</v>
      </c>
      <c r="G2" t="s">
        <v>26</v>
      </c>
      <c r="H2" t="s">
        <v>27</v>
      </c>
      <c r="J2" s="27"/>
      <c r="K2" s="27"/>
    </row>
    <row r="3" spans="1:11" x14ac:dyDescent="0.15">
      <c r="A3">
        <v>1</v>
      </c>
      <c r="B3">
        <v>0</v>
      </c>
      <c r="G3">
        <v>0</v>
      </c>
      <c r="H3">
        <v>0</v>
      </c>
      <c r="I3" s="26">
        <f>G3*0.08+40</f>
        <v>40</v>
      </c>
      <c r="J3" s="28">
        <f>I3/E4</f>
        <v>0.22222222222222221</v>
      </c>
      <c r="K3" s="28">
        <f t="shared" ref="K3:K34" si="0">I$52/E4</f>
        <v>99.575555555555567</v>
      </c>
    </row>
    <row r="4" spans="1:11" x14ac:dyDescent="0.15">
      <c r="A4">
        <v>2</v>
      </c>
      <c r="B4">
        <v>230</v>
      </c>
      <c r="C4">
        <f>B4-B3</f>
        <v>230</v>
      </c>
      <c r="D4">
        <v>-50</v>
      </c>
      <c r="E4">
        <f>C4+D4</f>
        <v>180</v>
      </c>
      <c r="F4">
        <v>180</v>
      </c>
      <c r="G4">
        <f>G3+E4</f>
        <v>180</v>
      </c>
      <c r="H4">
        <f>H3+F4</f>
        <v>180</v>
      </c>
      <c r="I4" s="26">
        <f t="shared" ref="I4:I67" si="1">G4*0.08+40</f>
        <v>54.4</v>
      </c>
      <c r="J4" s="28">
        <f t="shared" ref="J4:J67" si="2">I4/E5</f>
        <v>0.16484848484848486</v>
      </c>
      <c r="K4" s="28">
        <f t="shared" si="0"/>
        <v>54.3139393939394</v>
      </c>
    </row>
    <row r="5" spans="1:11" x14ac:dyDescent="0.15">
      <c r="A5">
        <v>3</v>
      </c>
      <c r="B5">
        <v>600</v>
      </c>
      <c r="C5">
        <f t="shared" ref="C5:C32" si="3">B5-B4</f>
        <v>370</v>
      </c>
      <c r="D5">
        <v>-40</v>
      </c>
      <c r="E5">
        <f t="shared" ref="E5:E32" si="4">C5+D5</f>
        <v>330</v>
      </c>
      <c r="F5">
        <v>330</v>
      </c>
      <c r="G5">
        <f t="shared" ref="G5:H33" si="5">G4+E5</f>
        <v>510</v>
      </c>
      <c r="H5">
        <f t="shared" si="5"/>
        <v>510</v>
      </c>
      <c r="I5" s="26">
        <f t="shared" si="1"/>
        <v>80.800000000000011</v>
      </c>
      <c r="J5" s="28">
        <f t="shared" si="2"/>
        <v>0.17955555555555558</v>
      </c>
      <c r="K5" s="28">
        <f t="shared" si="0"/>
        <v>39.830222222222226</v>
      </c>
    </row>
    <row r="6" spans="1:11" x14ac:dyDescent="0.15">
      <c r="A6">
        <v>4</v>
      </c>
      <c r="B6">
        <v>1080</v>
      </c>
      <c r="C6">
        <f t="shared" si="3"/>
        <v>480</v>
      </c>
      <c r="D6">
        <v>-30</v>
      </c>
      <c r="E6">
        <f t="shared" si="4"/>
        <v>450</v>
      </c>
      <c r="F6">
        <v>480</v>
      </c>
      <c r="G6">
        <f t="shared" si="5"/>
        <v>960</v>
      </c>
      <c r="H6">
        <f t="shared" si="5"/>
        <v>990</v>
      </c>
      <c r="I6" s="26">
        <f t="shared" si="1"/>
        <v>116.8</v>
      </c>
      <c r="J6" s="28">
        <f t="shared" si="2"/>
        <v>0.20857142857142857</v>
      </c>
      <c r="K6" s="28">
        <f t="shared" si="0"/>
        <v>32.006428571428579</v>
      </c>
    </row>
    <row r="7" spans="1:11" x14ac:dyDescent="0.15">
      <c r="A7">
        <v>5</v>
      </c>
      <c r="B7">
        <v>1660</v>
      </c>
      <c r="C7">
        <f t="shared" si="3"/>
        <v>580</v>
      </c>
      <c r="D7">
        <v>-20</v>
      </c>
      <c r="E7">
        <f t="shared" si="4"/>
        <v>560</v>
      </c>
      <c r="F7">
        <v>630</v>
      </c>
      <c r="G7">
        <f t="shared" si="5"/>
        <v>1520</v>
      </c>
      <c r="H7">
        <f t="shared" si="5"/>
        <v>1620</v>
      </c>
      <c r="I7" s="26">
        <f t="shared" si="1"/>
        <v>161.60000000000002</v>
      </c>
      <c r="J7" s="28">
        <f t="shared" si="2"/>
        <v>0.27389830508474577</v>
      </c>
      <c r="K7" s="28">
        <f t="shared" si="0"/>
        <v>30.378983050847463</v>
      </c>
    </row>
    <row r="8" spans="1:11" x14ac:dyDescent="0.15">
      <c r="A8">
        <v>6</v>
      </c>
      <c r="B8">
        <v>2260</v>
      </c>
      <c r="C8">
        <f t="shared" si="3"/>
        <v>600</v>
      </c>
      <c r="D8">
        <v>-10</v>
      </c>
      <c r="E8">
        <f t="shared" si="4"/>
        <v>590</v>
      </c>
      <c r="F8">
        <v>780</v>
      </c>
      <c r="G8">
        <f t="shared" si="5"/>
        <v>2110</v>
      </c>
      <c r="H8">
        <f t="shared" si="5"/>
        <v>2400</v>
      </c>
      <c r="I8" s="26">
        <f t="shared" si="1"/>
        <v>208.8</v>
      </c>
      <c r="J8" s="28">
        <f t="shared" si="2"/>
        <v>0.28216216216216217</v>
      </c>
      <c r="K8" s="28">
        <f t="shared" si="0"/>
        <v>24.221081081081085</v>
      </c>
    </row>
    <row r="9" spans="1:11" x14ac:dyDescent="0.15">
      <c r="A9">
        <v>7</v>
      </c>
      <c r="B9">
        <v>2980</v>
      </c>
      <c r="C9">
        <f t="shared" si="3"/>
        <v>720</v>
      </c>
      <c r="D9">
        <v>20</v>
      </c>
      <c r="E9">
        <f t="shared" si="4"/>
        <v>740</v>
      </c>
      <c r="F9">
        <v>840</v>
      </c>
      <c r="G9">
        <f t="shared" si="5"/>
        <v>2850</v>
      </c>
      <c r="H9">
        <f t="shared" si="5"/>
        <v>3240</v>
      </c>
      <c r="I9" s="26">
        <f t="shared" si="1"/>
        <v>268</v>
      </c>
      <c r="J9" s="28">
        <f t="shared" si="2"/>
        <v>0.3392405063291139</v>
      </c>
      <c r="K9" s="28">
        <f t="shared" si="0"/>
        <v>22.688101265822787</v>
      </c>
    </row>
    <row r="10" spans="1:11" x14ac:dyDescent="0.15">
      <c r="A10">
        <v>8</v>
      </c>
      <c r="B10">
        <v>3730</v>
      </c>
      <c r="C10">
        <f t="shared" si="3"/>
        <v>750</v>
      </c>
      <c r="D10">
        <v>40</v>
      </c>
      <c r="E10">
        <f t="shared" si="4"/>
        <v>790</v>
      </c>
      <c r="F10">
        <v>900</v>
      </c>
      <c r="G10">
        <f t="shared" si="5"/>
        <v>3640</v>
      </c>
      <c r="H10">
        <f t="shared" si="5"/>
        <v>4140</v>
      </c>
      <c r="I10" s="26">
        <f t="shared" si="1"/>
        <v>331.2</v>
      </c>
      <c r="J10" s="28">
        <f t="shared" si="2"/>
        <v>0.39428571428571429</v>
      </c>
      <c r="K10" s="28">
        <f t="shared" si="0"/>
        <v>21.33761904761905</v>
      </c>
    </row>
    <row r="11" spans="1:11" x14ac:dyDescent="0.15">
      <c r="A11">
        <v>9</v>
      </c>
      <c r="B11">
        <v>4510</v>
      </c>
      <c r="C11">
        <f t="shared" si="3"/>
        <v>780</v>
      </c>
      <c r="D11">
        <v>60</v>
      </c>
      <c r="E11">
        <f t="shared" si="4"/>
        <v>840</v>
      </c>
      <c r="F11">
        <v>960</v>
      </c>
      <c r="G11">
        <f t="shared" si="5"/>
        <v>4480</v>
      </c>
      <c r="H11">
        <f t="shared" si="5"/>
        <v>5100</v>
      </c>
      <c r="I11" s="26">
        <f t="shared" si="1"/>
        <v>398.40000000000003</v>
      </c>
      <c r="J11" s="28">
        <f t="shared" si="2"/>
        <v>0.4476404494382023</v>
      </c>
      <c r="K11" s="28">
        <f t="shared" si="0"/>
        <v>20.138876404494386</v>
      </c>
    </row>
    <row r="12" spans="1:11" x14ac:dyDescent="0.15">
      <c r="A12">
        <v>10</v>
      </c>
      <c r="B12">
        <v>5320</v>
      </c>
      <c r="C12">
        <f t="shared" si="3"/>
        <v>810</v>
      </c>
      <c r="D12">
        <v>80</v>
      </c>
      <c r="E12">
        <f t="shared" si="4"/>
        <v>890</v>
      </c>
      <c r="F12">
        <v>1020</v>
      </c>
      <c r="G12">
        <f t="shared" si="5"/>
        <v>5370</v>
      </c>
      <c r="H12">
        <f t="shared" si="5"/>
        <v>6120</v>
      </c>
      <c r="I12" s="26">
        <f t="shared" si="1"/>
        <v>469.6</v>
      </c>
      <c r="J12" s="28">
        <f t="shared" si="2"/>
        <v>0.49957446808510642</v>
      </c>
      <c r="K12" s="28">
        <f t="shared" si="0"/>
        <v>19.067659574468088</v>
      </c>
    </row>
    <row r="13" spans="1:11" x14ac:dyDescent="0.15">
      <c r="A13">
        <v>11</v>
      </c>
      <c r="B13">
        <v>6160</v>
      </c>
      <c r="C13">
        <f t="shared" si="3"/>
        <v>840</v>
      </c>
      <c r="D13">
        <v>100</v>
      </c>
      <c r="E13">
        <f t="shared" si="4"/>
        <v>940</v>
      </c>
      <c r="F13">
        <v>1080</v>
      </c>
      <c r="G13">
        <f t="shared" si="5"/>
        <v>6310</v>
      </c>
      <c r="H13">
        <f t="shared" si="5"/>
        <v>7200</v>
      </c>
      <c r="I13" s="26">
        <f t="shared" si="1"/>
        <v>544.79999999999995</v>
      </c>
      <c r="J13" s="28">
        <f t="shared" si="2"/>
        <v>0.5091588785046729</v>
      </c>
      <c r="K13" s="28">
        <f t="shared" si="0"/>
        <v>16.751028037383179</v>
      </c>
    </row>
    <row r="14" spans="1:11" x14ac:dyDescent="0.15">
      <c r="A14">
        <v>12</v>
      </c>
      <c r="B14">
        <v>7030</v>
      </c>
      <c r="C14">
        <f t="shared" si="3"/>
        <v>870</v>
      </c>
      <c r="D14">
        <v>200</v>
      </c>
      <c r="E14">
        <f t="shared" si="4"/>
        <v>1070</v>
      </c>
      <c r="F14">
        <v>1150</v>
      </c>
      <c r="G14">
        <f t="shared" si="5"/>
        <v>7380</v>
      </c>
      <c r="H14">
        <f t="shared" si="5"/>
        <v>8350</v>
      </c>
      <c r="I14" s="26">
        <f t="shared" si="1"/>
        <v>630.4</v>
      </c>
      <c r="J14" s="28">
        <f t="shared" si="2"/>
        <v>0.52533333333333332</v>
      </c>
      <c r="K14" s="28">
        <f t="shared" si="0"/>
        <v>14.936333333333335</v>
      </c>
    </row>
    <row r="15" spans="1:11" x14ac:dyDescent="0.15">
      <c r="A15">
        <v>13</v>
      </c>
      <c r="B15">
        <v>7930</v>
      </c>
      <c r="C15">
        <f t="shared" si="3"/>
        <v>900</v>
      </c>
      <c r="D15">
        <v>300</v>
      </c>
      <c r="E15">
        <f t="shared" si="4"/>
        <v>1200</v>
      </c>
      <c r="F15">
        <v>1300</v>
      </c>
      <c r="G15">
        <f t="shared" si="5"/>
        <v>8580</v>
      </c>
      <c r="H15">
        <f t="shared" si="5"/>
        <v>9650</v>
      </c>
      <c r="I15" s="26">
        <f t="shared" si="1"/>
        <v>726.4</v>
      </c>
      <c r="J15" s="28">
        <f t="shared" si="2"/>
        <v>0.50975438596491229</v>
      </c>
      <c r="K15" s="28">
        <f t="shared" si="0"/>
        <v>12.577964912280704</v>
      </c>
    </row>
    <row r="16" spans="1:11" x14ac:dyDescent="0.15">
      <c r="A16">
        <v>14</v>
      </c>
      <c r="B16">
        <v>9155</v>
      </c>
      <c r="C16">
        <f t="shared" si="3"/>
        <v>1225</v>
      </c>
      <c r="D16">
        <v>200</v>
      </c>
      <c r="E16">
        <f t="shared" si="4"/>
        <v>1425</v>
      </c>
      <c r="F16">
        <v>1450</v>
      </c>
      <c r="G16">
        <f t="shared" si="5"/>
        <v>10005</v>
      </c>
      <c r="H16">
        <f t="shared" si="5"/>
        <v>11100</v>
      </c>
      <c r="I16" s="26">
        <f t="shared" si="1"/>
        <v>840.4</v>
      </c>
      <c r="J16" s="28">
        <f t="shared" si="2"/>
        <v>0.54219354838709677</v>
      </c>
      <c r="K16" s="28">
        <f t="shared" si="0"/>
        <v>11.563612903225808</v>
      </c>
    </row>
    <row r="17" spans="1:11" x14ac:dyDescent="0.15">
      <c r="A17">
        <v>15</v>
      </c>
      <c r="B17">
        <v>10405</v>
      </c>
      <c r="C17">
        <f t="shared" si="3"/>
        <v>1250</v>
      </c>
      <c r="D17">
        <v>300</v>
      </c>
      <c r="E17">
        <f t="shared" si="4"/>
        <v>1550</v>
      </c>
      <c r="F17">
        <v>1600</v>
      </c>
      <c r="G17">
        <f t="shared" si="5"/>
        <v>11555</v>
      </c>
      <c r="H17">
        <f t="shared" si="5"/>
        <v>12700</v>
      </c>
      <c r="I17" s="26">
        <f t="shared" si="1"/>
        <v>964.4</v>
      </c>
      <c r="J17" s="28">
        <f t="shared" si="2"/>
        <v>0.57576119402985071</v>
      </c>
      <c r="K17" s="28">
        <f t="shared" si="0"/>
        <v>10.700656716417912</v>
      </c>
    </row>
    <row r="18" spans="1:11" x14ac:dyDescent="0.15">
      <c r="A18">
        <v>16</v>
      </c>
      <c r="B18">
        <v>11680</v>
      </c>
      <c r="C18">
        <f t="shared" si="3"/>
        <v>1275</v>
      </c>
      <c r="D18">
        <v>400</v>
      </c>
      <c r="E18">
        <f t="shared" si="4"/>
        <v>1675</v>
      </c>
      <c r="F18">
        <v>1750</v>
      </c>
      <c r="G18">
        <f t="shared" si="5"/>
        <v>13230</v>
      </c>
      <c r="H18">
        <f t="shared" si="5"/>
        <v>14450</v>
      </c>
      <c r="I18" s="26">
        <f t="shared" si="1"/>
        <v>1098.4000000000001</v>
      </c>
      <c r="J18" s="28">
        <f t="shared" si="2"/>
        <v>0.61022222222222222</v>
      </c>
      <c r="K18" s="28">
        <f t="shared" si="0"/>
        <v>9.9575555555555564</v>
      </c>
    </row>
    <row r="19" spans="1:11" x14ac:dyDescent="0.15">
      <c r="A19">
        <v>17</v>
      </c>
      <c r="B19">
        <v>12980</v>
      </c>
      <c r="C19">
        <f t="shared" si="3"/>
        <v>1300</v>
      </c>
      <c r="D19">
        <v>500</v>
      </c>
      <c r="E19">
        <f t="shared" si="4"/>
        <v>1800</v>
      </c>
      <c r="F19">
        <v>1900</v>
      </c>
      <c r="G19">
        <f t="shared" si="5"/>
        <v>15030</v>
      </c>
      <c r="H19">
        <f t="shared" si="5"/>
        <v>16350</v>
      </c>
      <c r="I19" s="26">
        <f t="shared" si="1"/>
        <v>1242.4000000000001</v>
      </c>
      <c r="J19" s="28">
        <f t="shared" si="2"/>
        <v>0.64540259740259742</v>
      </c>
      <c r="K19" s="28">
        <f t="shared" si="0"/>
        <v>9.3109610389610395</v>
      </c>
    </row>
    <row r="20" spans="1:11" x14ac:dyDescent="0.15">
      <c r="A20">
        <v>18</v>
      </c>
      <c r="B20">
        <v>14305</v>
      </c>
      <c r="C20">
        <f t="shared" si="3"/>
        <v>1325</v>
      </c>
      <c r="D20">
        <v>600</v>
      </c>
      <c r="E20">
        <f t="shared" si="4"/>
        <v>1925</v>
      </c>
      <c r="F20">
        <v>2000</v>
      </c>
      <c r="G20">
        <f t="shared" si="5"/>
        <v>16955</v>
      </c>
      <c r="H20">
        <f t="shared" si="5"/>
        <v>18350</v>
      </c>
      <c r="I20" s="26">
        <f t="shared" si="1"/>
        <v>1396.4</v>
      </c>
      <c r="J20" s="28">
        <f t="shared" si="2"/>
        <v>0.69820000000000004</v>
      </c>
      <c r="K20" s="28">
        <f t="shared" si="0"/>
        <v>8.9618000000000002</v>
      </c>
    </row>
    <row r="21" spans="1:11" x14ac:dyDescent="0.15">
      <c r="A21">
        <v>19</v>
      </c>
      <c r="B21">
        <v>15805</v>
      </c>
      <c r="C21">
        <f t="shared" si="3"/>
        <v>1500</v>
      </c>
      <c r="D21">
        <v>500</v>
      </c>
      <c r="E21">
        <f t="shared" si="4"/>
        <v>2000</v>
      </c>
      <c r="F21">
        <v>2100</v>
      </c>
      <c r="G21">
        <f t="shared" si="5"/>
        <v>18955</v>
      </c>
      <c r="H21">
        <f t="shared" si="5"/>
        <v>20450</v>
      </c>
      <c r="I21" s="26">
        <f t="shared" si="1"/>
        <v>1556.4</v>
      </c>
      <c r="J21" s="28">
        <f t="shared" si="2"/>
        <v>0.74468899521531107</v>
      </c>
      <c r="K21" s="28">
        <f t="shared" si="0"/>
        <v>8.575885167464115</v>
      </c>
    </row>
    <row r="22" spans="1:11" x14ac:dyDescent="0.15">
      <c r="A22">
        <v>20</v>
      </c>
      <c r="B22">
        <v>17395</v>
      </c>
      <c r="C22">
        <f t="shared" si="3"/>
        <v>1590</v>
      </c>
      <c r="D22">
        <v>500</v>
      </c>
      <c r="E22">
        <f t="shared" si="4"/>
        <v>2090</v>
      </c>
      <c r="F22">
        <v>2200</v>
      </c>
      <c r="G22">
        <f t="shared" si="5"/>
        <v>21045</v>
      </c>
      <c r="H22">
        <f t="shared" si="5"/>
        <v>22650</v>
      </c>
      <c r="I22" s="26">
        <f t="shared" si="1"/>
        <v>1723.6000000000001</v>
      </c>
      <c r="J22" s="28">
        <f t="shared" si="2"/>
        <v>0.8207619047619048</v>
      </c>
      <c r="K22" s="28">
        <f t="shared" si="0"/>
        <v>8.5350476190476208</v>
      </c>
    </row>
    <row r="23" spans="1:11" x14ac:dyDescent="0.15">
      <c r="A23">
        <v>21</v>
      </c>
      <c r="B23">
        <v>18995</v>
      </c>
      <c r="C23">
        <f t="shared" si="3"/>
        <v>1600</v>
      </c>
      <c r="D23">
        <v>500</v>
      </c>
      <c r="E23">
        <f t="shared" si="4"/>
        <v>2100</v>
      </c>
      <c r="F23">
        <v>2400</v>
      </c>
      <c r="G23">
        <f t="shared" si="5"/>
        <v>23145</v>
      </c>
      <c r="H23">
        <f t="shared" si="5"/>
        <v>25050</v>
      </c>
      <c r="I23" s="26">
        <f t="shared" si="1"/>
        <v>1891.6000000000001</v>
      </c>
      <c r="J23" s="28">
        <f t="shared" si="2"/>
        <v>0.80493617021276598</v>
      </c>
      <c r="K23" s="28">
        <f t="shared" si="0"/>
        <v>7.6270638297872351</v>
      </c>
    </row>
    <row r="24" spans="1:11" x14ac:dyDescent="0.15">
      <c r="A24">
        <v>22</v>
      </c>
      <c r="B24">
        <v>20845</v>
      </c>
      <c r="C24">
        <f t="shared" si="3"/>
        <v>1850</v>
      </c>
      <c r="D24">
        <v>500</v>
      </c>
      <c r="E24">
        <f t="shared" si="4"/>
        <v>2350</v>
      </c>
      <c r="F24">
        <v>2600</v>
      </c>
      <c r="G24">
        <f t="shared" si="5"/>
        <v>25495</v>
      </c>
      <c r="H24">
        <f t="shared" si="5"/>
        <v>27650</v>
      </c>
      <c r="I24" s="26">
        <f t="shared" si="1"/>
        <v>2079.6000000000004</v>
      </c>
      <c r="J24" s="28">
        <f t="shared" si="2"/>
        <v>0.79984615384615398</v>
      </c>
      <c r="K24" s="28">
        <f t="shared" si="0"/>
        <v>6.8936923076923087</v>
      </c>
    </row>
    <row r="25" spans="1:11" x14ac:dyDescent="0.15">
      <c r="A25">
        <v>23</v>
      </c>
      <c r="B25">
        <v>22945</v>
      </c>
      <c r="C25">
        <f t="shared" si="3"/>
        <v>2100</v>
      </c>
      <c r="D25">
        <v>500</v>
      </c>
      <c r="E25">
        <f t="shared" si="4"/>
        <v>2600</v>
      </c>
      <c r="F25">
        <v>2800</v>
      </c>
      <c r="G25">
        <f t="shared" si="5"/>
        <v>28095</v>
      </c>
      <c r="H25">
        <f t="shared" si="5"/>
        <v>30450</v>
      </c>
      <c r="I25" s="26">
        <f t="shared" si="1"/>
        <v>2287.6</v>
      </c>
      <c r="J25" s="28">
        <f t="shared" si="2"/>
        <v>0.80266666666666664</v>
      </c>
      <c r="K25" s="28">
        <f t="shared" si="0"/>
        <v>6.288982456140352</v>
      </c>
    </row>
    <row r="26" spans="1:11" x14ac:dyDescent="0.15">
      <c r="A26">
        <v>24</v>
      </c>
      <c r="B26">
        <v>25295</v>
      </c>
      <c r="C26">
        <f t="shared" si="3"/>
        <v>2350</v>
      </c>
      <c r="D26">
        <v>500</v>
      </c>
      <c r="E26">
        <f t="shared" si="4"/>
        <v>2850</v>
      </c>
      <c r="F26">
        <v>3000</v>
      </c>
      <c r="G26">
        <f t="shared" si="5"/>
        <v>30945</v>
      </c>
      <c r="H26">
        <f t="shared" si="5"/>
        <v>33450</v>
      </c>
      <c r="I26" s="26">
        <f t="shared" si="1"/>
        <v>2515.6</v>
      </c>
      <c r="J26" s="28">
        <f t="shared" si="2"/>
        <v>0.81148387096774188</v>
      </c>
      <c r="K26" s="28">
        <f t="shared" si="0"/>
        <v>5.781806451612904</v>
      </c>
    </row>
    <row r="27" spans="1:11" x14ac:dyDescent="0.15">
      <c r="A27">
        <v>25</v>
      </c>
      <c r="B27">
        <v>27895</v>
      </c>
      <c r="C27">
        <f t="shared" si="3"/>
        <v>2600</v>
      </c>
      <c r="D27">
        <v>500</v>
      </c>
      <c r="E27">
        <f t="shared" si="4"/>
        <v>3100</v>
      </c>
      <c r="F27">
        <v>3500</v>
      </c>
      <c r="G27">
        <f t="shared" si="5"/>
        <v>34045</v>
      </c>
      <c r="H27">
        <f t="shared" si="5"/>
        <v>36950</v>
      </c>
      <c r="I27" s="26">
        <f t="shared" si="1"/>
        <v>2763.6</v>
      </c>
      <c r="J27" s="28">
        <f t="shared" si="2"/>
        <v>0.78959999999999997</v>
      </c>
      <c r="K27" s="28">
        <f t="shared" si="0"/>
        <v>5.1210285714285719</v>
      </c>
    </row>
    <row r="28" spans="1:11" x14ac:dyDescent="0.15">
      <c r="A28">
        <v>26</v>
      </c>
      <c r="B28">
        <v>31395</v>
      </c>
      <c r="C28">
        <f t="shared" si="3"/>
        <v>3500</v>
      </c>
      <c r="E28">
        <f t="shared" si="4"/>
        <v>3500</v>
      </c>
      <c r="F28">
        <v>4000</v>
      </c>
      <c r="G28">
        <f t="shared" si="5"/>
        <v>37545</v>
      </c>
      <c r="H28">
        <f t="shared" si="5"/>
        <v>40950</v>
      </c>
      <c r="I28" s="26">
        <f t="shared" si="1"/>
        <v>3043.6</v>
      </c>
      <c r="J28" s="28">
        <f t="shared" si="2"/>
        <v>0.67635555555555549</v>
      </c>
      <c r="K28" s="28">
        <f t="shared" si="0"/>
        <v>3.9830222222222229</v>
      </c>
    </row>
    <row r="29" spans="1:11" x14ac:dyDescent="0.15">
      <c r="A29">
        <v>27</v>
      </c>
      <c r="B29">
        <v>35895</v>
      </c>
      <c r="C29">
        <f t="shared" si="3"/>
        <v>4500</v>
      </c>
      <c r="E29">
        <f t="shared" si="4"/>
        <v>4500</v>
      </c>
      <c r="F29">
        <v>4500</v>
      </c>
      <c r="G29">
        <f t="shared" si="5"/>
        <v>42045</v>
      </c>
      <c r="H29">
        <f t="shared" si="5"/>
        <v>45450</v>
      </c>
      <c r="I29" s="26">
        <f t="shared" si="1"/>
        <v>3403.6</v>
      </c>
      <c r="J29" s="28">
        <f t="shared" si="2"/>
        <v>0.61883636363636363</v>
      </c>
      <c r="K29" s="28">
        <f t="shared" si="0"/>
        <v>3.2588363636363642</v>
      </c>
    </row>
    <row r="30" spans="1:11" x14ac:dyDescent="0.15">
      <c r="A30">
        <v>28</v>
      </c>
      <c r="B30">
        <v>41395</v>
      </c>
      <c r="C30">
        <f t="shared" si="3"/>
        <v>5500</v>
      </c>
      <c r="E30">
        <f t="shared" si="4"/>
        <v>5500</v>
      </c>
      <c r="F30">
        <v>5000</v>
      </c>
      <c r="G30">
        <f t="shared" si="5"/>
        <v>47545</v>
      </c>
      <c r="H30">
        <f t="shared" si="5"/>
        <v>50450</v>
      </c>
      <c r="I30" s="26">
        <f t="shared" si="1"/>
        <v>3843.6</v>
      </c>
      <c r="J30" s="28">
        <f t="shared" si="2"/>
        <v>0.59132307692307695</v>
      </c>
      <c r="K30" s="28">
        <f t="shared" si="0"/>
        <v>2.7574769230769234</v>
      </c>
    </row>
    <row r="31" spans="1:11" x14ac:dyDescent="0.15">
      <c r="A31">
        <v>29</v>
      </c>
      <c r="B31">
        <v>47895</v>
      </c>
      <c r="C31">
        <f t="shared" si="3"/>
        <v>6500</v>
      </c>
      <c r="E31">
        <f t="shared" si="4"/>
        <v>6500</v>
      </c>
      <c r="F31">
        <v>5500</v>
      </c>
      <c r="G31">
        <f t="shared" si="5"/>
        <v>54045</v>
      </c>
      <c r="H31">
        <f t="shared" si="5"/>
        <v>55950</v>
      </c>
      <c r="I31" s="26">
        <f t="shared" si="1"/>
        <v>4363.6000000000004</v>
      </c>
      <c r="J31" s="28">
        <f t="shared" si="2"/>
        <v>0.5818133333333334</v>
      </c>
      <c r="K31" s="28">
        <f t="shared" si="0"/>
        <v>2.3898133333333336</v>
      </c>
    </row>
    <row r="32" spans="1:11" x14ac:dyDescent="0.15">
      <c r="A32">
        <v>30</v>
      </c>
      <c r="B32">
        <v>55395</v>
      </c>
      <c r="C32">
        <f t="shared" si="3"/>
        <v>7500</v>
      </c>
      <c r="E32">
        <f t="shared" si="4"/>
        <v>7500</v>
      </c>
      <c r="F32">
        <v>6000</v>
      </c>
      <c r="G32">
        <f t="shared" si="5"/>
        <v>61545</v>
      </c>
      <c r="H32">
        <f t="shared" si="5"/>
        <v>61950</v>
      </c>
      <c r="I32" s="26">
        <f t="shared" si="1"/>
        <v>4963.6000000000004</v>
      </c>
      <c r="J32" s="28">
        <f t="shared" si="2"/>
        <v>0.80058064516129035</v>
      </c>
      <c r="K32" s="28">
        <f t="shared" si="0"/>
        <v>2.890903225806452</v>
      </c>
    </row>
    <row r="33" spans="1:11" x14ac:dyDescent="0.15">
      <c r="A33">
        <v>31</v>
      </c>
      <c r="E33">
        <f>A33*200</f>
        <v>6200</v>
      </c>
      <c r="F33">
        <f>A33*200</f>
        <v>6200</v>
      </c>
      <c r="G33">
        <f t="shared" si="5"/>
        <v>67745</v>
      </c>
      <c r="H33">
        <f t="shared" si="5"/>
        <v>68150</v>
      </c>
      <c r="I33" s="26">
        <f t="shared" si="1"/>
        <v>5459.6</v>
      </c>
      <c r="J33" s="28">
        <f t="shared" si="2"/>
        <v>0.85306250000000006</v>
      </c>
      <c r="K33" s="28">
        <f t="shared" si="0"/>
        <v>2.8005625000000003</v>
      </c>
    </row>
    <row r="34" spans="1:11" x14ac:dyDescent="0.15">
      <c r="A34">
        <v>32</v>
      </c>
      <c r="E34">
        <f t="shared" ref="E34:E97" si="6">A34*200</f>
        <v>6400</v>
      </c>
      <c r="F34">
        <f t="shared" ref="F34:F97" si="7">A34*200</f>
        <v>6400</v>
      </c>
      <c r="G34">
        <f t="shared" ref="G34:H97" si="8">G33+E34</f>
        <v>74145</v>
      </c>
      <c r="H34">
        <f t="shared" si="8"/>
        <v>74550</v>
      </c>
      <c r="I34" s="26">
        <f t="shared" si="1"/>
        <v>5971.6</v>
      </c>
      <c r="J34" s="28">
        <f t="shared" si="2"/>
        <v>0.90478787878787881</v>
      </c>
      <c r="K34" s="28">
        <f t="shared" si="0"/>
        <v>2.7156969696969702</v>
      </c>
    </row>
    <row r="35" spans="1:11" x14ac:dyDescent="0.15">
      <c r="A35">
        <v>33</v>
      </c>
      <c r="E35">
        <f t="shared" si="6"/>
        <v>6600</v>
      </c>
      <c r="F35">
        <f t="shared" si="7"/>
        <v>6600</v>
      </c>
      <c r="G35">
        <f t="shared" si="8"/>
        <v>80745</v>
      </c>
      <c r="H35">
        <f t="shared" si="8"/>
        <v>81150</v>
      </c>
      <c r="I35" s="26">
        <f t="shared" si="1"/>
        <v>6499.6</v>
      </c>
      <c r="J35" s="28">
        <f t="shared" si="2"/>
        <v>0.95582352941176474</v>
      </c>
      <c r="K35" s="28">
        <f t="shared" ref="K35:K67" si="9">I$52/E36</f>
        <v>2.6358235294117649</v>
      </c>
    </row>
    <row r="36" spans="1:11" x14ac:dyDescent="0.15">
      <c r="A36">
        <v>34</v>
      </c>
      <c r="E36">
        <f t="shared" si="6"/>
        <v>6800</v>
      </c>
      <c r="F36">
        <f t="shared" si="7"/>
        <v>6800</v>
      </c>
      <c r="G36">
        <f t="shared" si="8"/>
        <v>87545</v>
      </c>
      <c r="H36">
        <f t="shared" si="8"/>
        <v>87950</v>
      </c>
      <c r="I36" s="26">
        <f t="shared" si="1"/>
        <v>7043.6</v>
      </c>
      <c r="J36" s="28">
        <f t="shared" si="2"/>
        <v>1.0062285714285715</v>
      </c>
      <c r="K36" s="28">
        <f t="shared" si="9"/>
        <v>2.560514285714286</v>
      </c>
    </row>
    <row r="37" spans="1:11" x14ac:dyDescent="0.15">
      <c r="A37">
        <v>35</v>
      </c>
      <c r="E37">
        <f t="shared" si="6"/>
        <v>7000</v>
      </c>
      <c r="F37">
        <f t="shared" si="7"/>
        <v>7000</v>
      </c>
      <c r="G37">
        <f t="shared" si="8"/>
        <v>94545</v>
      </c>
      <c r="H37">
        <f t="shared" si="8"/>
        <v>94950</v>
      </c>
      <c r="I37" s="26">
        <f t="shared" si="1"/>
        <v>7603.6</v>
      </c>
      <c r="J37" s="28">
        <f t="shared" si="2"/>
        <v>1.0560555555555555</v>
      </c>
      <c r="K37" s="28">
        <f t="shared" si="9"/>
        <v>2.4893888888888891</v>
      </c>
    </row>
    <row r="38" spans="1:11" x14ac:dyDescent="0.15">
      <c r="A38">
        <v>36</v>
      </c>
      <c r="E38">
        <f t="shared" si="6"/>
        <v>7200</v>
      </c>
      <c r="F38">
        <f t="shared" si="7"/>
        <v>7200</v>
      </c>
      <c r="G38">
        <f t="shared" si="8"/>
        <v>101745</v>
      </c>
      <c r="H38">
        <f t="shared" si="8"/>
        <v>102150</v>
      </c>
      <c r="I38" s="26">
        <f t="shared" si="1"/>
        <v>8179.6</v>
      </c>
      <c r="J38" s="28">
        <f t="shared" si="2"/>
        <v>1.1053513513513513</v>
      </c>
      <c r="K38" s="28">
        <f t="shared" si="9"/>
        <v>2.4221081081081084</v>
      </c>
    </row>
    <row r="39" spans="1:11" x14ac:dyDescent="0.15">
      <c r="A39">
        <v>37</v>
      </c>
      <c r="E39">
        <f t="shared" si="6"/>
        <v>7400</v>
      </c>
      <c r="F39">
        <f t="shared" si="7"/>
        <v>7400</v>
      </c>
      <c r="G39">
        <f t="shared" si="8"/>
        <v>109145</v>
      </c>
      <c r="H39">
        <f t="shared" si="8"/>
        <v>109550</v>
      </c>
      <c r="I39" s="26">
        <f t="shared" si="1"/>
        <v>8771.6</v>
      </c>
      <c r="J39" s="28">
        <f t="shared" si="2"/>
        <v>1.154157894736842</v>
      </c>
      <c r="K39" s="28">
        <f t="shared" si="9"/>
        <v>2.3583684210526319</v>
      </c>
    </row>
    <row r="40" spans="1:11" x14ac:dyDescent="0.15">
      <c r="A40">
        <v>38</v>
      </c>
      <c r="E40">
        <f t="shared" si="6"/>
        <v>7600</v>
      </c>
      <c r="F40">
        <f t="shared" si="7"/>
        <v>7600</v>
      </c>
      <c r="G40">
        <f t="shared" si="8"/>
        <v>116745</v>
      </c>
      <c r="H40">
        <f t="shared" si="8"/>
        <v>117150</v>
      </c>
      <c r="I40" s="26">
        <f t="shared" si="1"/>
        <v>9379.6</v>
      </c>
      <c r="J40" s="28">
        <f t="shared" si="2"/>
        <v>1.2025128205128206</v>
      </c>
      <c r="K40" s="28">
        <f t="shared" si="9"/>
        <v>2.2978974358974362</v>
      </c>
    </row>
    <row r="41" spans="1:11" x14ac:dyDescent="0.15">
      <c r="A41">
        <v>39</v>
      </c>
      <c r="E41">
        <f t="shared" si="6"/>
        <v>7800</v>
      </c>
      <c r="F41">
        <f t="shared" si="7"/>
        <v>7800</v>
      </c>
      <c r="G41">
        <f t="shared" si="8"/>
        <v>124545</v>
      </c>
      <c r="H41">
        <f t="shared" si="8"/>
        <v>124950</v>
      </c>
      <c r="I41" s="26">
        <f t="shared" si="1"/>
        <v>10003.6</v>
      </c>
      <c r="J41" s="28">
        <f t="shared" si="2"/>
        <v>1.2504500000000001</v>
      </c>
      <c r="K41" s="28">
        <f t="shared" si="9"/>
        <v>2.2404500000000001</v>
      </c>
    </row>
    <row r="42" spans="1:11" x14ac:dyDescent="0.15">
      <c r="A42">
        <v>40</v>
      </c>
      <c r="E42">
        <f t="shared" si="6"/>
        <v>8000</v>
      </c>
      <c r="F42">
        <f t="shared" si="7"/>
        <v>8000</v>
      </c>
      <c r="G42">
        <f t="shared" si="8"/>
        <v>132545</v>
      </c>
      <c r="H42">
        <f t="shared" si="8"/>
        <v>132950</v>
      </c>
      <c r="I42" s="26">
        <f t="shared" si="1"/>
        <v>10643.6</v>
      </c>
      <c r="J42" s="28">
        <f t="shared" si="2"/>
        <v>1.298</v>
      </c>
      <c r="K42" s="28">
        <f t="shared" si="9"/>
        <v>2.1858048780487809</v>
      </c>
    </row>
    <row r="43" spans="1:11" x14ac:dyDescent="0.15">
      <c r="A43">
        <v>41</v>
      </c>
      <c r="E43">
        <f t="shared" si="6"/>
        <v>8200</v>
      </c>
      <c r="F43">
        <f t="shared" si="7"/>
        <v>8200</v>
      </c>
      <c r="G43">
        <f t="shared" si="8"/>
        <v>140745</v>
      </c>
      <c r="H43">
        <f t="shared" si="8"/>
        <v>141150</v>
      </c>
      <c r="I43" s="26">
        <f t="shared" si="1"/>
        <v>11299.6</v>
      </c>
      <c r="J43" s="28">
        <f t="shared" si="2"/>
        <v>1.3451904761904763</v>
      </c>
      <c r="K43" s="28">
        <f t="shared" si="9"/>
        <v>2.1337619047619052</v>
      </c>
    </row>
    <row r="44" spans="1:11" x14ac:dyDescent="0.15">
      <c r="A44">
        <v>42</v>
      </c>
      <c r="E44">
        <f t="shared" si="6"/>
        <v>8400</v>
      </c>
      <c r="F44">
        <f t="shared" si="7"/>
        <v>8400</v>
      </c>
      <c r="G44">
        <f t="shared" si="8"/>
        <v>149145</v>
      </c>
      <c r="H44">
        <f t="shared" si="8"/>
        <v>149550</v>
      </c>
      <c r="I44" s="26">
        <f t="shared" si="1"/>
        <v>11971.6</v>
      </c>
      <c r="J44" s="28">
        <f t="shared" si="2"/>
        <v>1.392046511627907</v>
      </c>
      <c r="K44" s="28">
        <f t="shared" si="9"/>
        <v>2.0841395348837213</v>
      </c>
    </row>
    <row r="45" spans="1:11" x14ac:dyDescent="0.15">
      <c r="A45">
        <v>43</v>
      </c>
      <c r="E45">
        <f t="shared" si="6"/>
        <v>8600</v>
      </c>
      <c r="F45">
        <f t="shared" si="7"/>
        <v>8600</v>
      </c>
      <c r="G45">
        <f t="shared" si="8"/>
        <v>157745</v>
      </c>
      <c r="H45">
        <f t="shared" si="8"/>
        <v>158150</v>
      </c>
      <c r="I45" s="26">
        <f t="shared" si="1"/>
        <v>12659.6</v>
      </c>
      <c r="J45" s="28">
        <f t="shared" si="2"/>
        <v>1.438590909090909</v>
      </c>
      <c r="K45" s="28">
        <f t="shared" si="9"/>
        <v>2.0367727272727274</v>
      </c>
    </row>
    <row r="46" spans="1:11" x14ac:dyDescent="0.15">
      <c r="A46">
        <v>44</v>
      </c>
      <c r="E46">
        <f t="shared" si="6"/>
        <v>8800</v>
      </c>
      <c r="F46">
        <f t="shared" si="7"/>
        <v>8800</v>
      </c>
      <c r="G46">
        <f t="shared" si="8"/>
        <v>166545</v>
      </c>
      <c r="H46">
        <f t="shared" si="8"/>
        <v>166950</v>
      </c>
      <c r="I46" s="26">
        <f t="shared" si="1"/>
        <v>13363.6</v>
      </c>
      <c r="J46" s="28">
        <f t="shared" si="2"/>
        <v>1.4848444444444444</v>
      </c>
      <c r="K46" s="28">
        <f t="shared" si="9"/>
        <v>1.9915111111111115</v>
      </c>
    </row>
    <row r="47" spans="1:11" x14ac:dyDescent="0.15">
      <c r="A47">
        <v>45</v>
      </c>
      <c r="E47">
        <f t="shared" si="6"/>
        <v>9000</v>
      </c>
      <c r="F47">
        <f t="shared" si="7"/>
        <v>9000</v>
      </c>
      <c r="G47">
        <f t="shared" si="8"/>
        <v>175545</v>
      </c>
      <c r="H47">
        <f t="shared" si="8"/>
        <v>175950</v>
      </c>
      <c r="I47" s="26">
        <f t="shared" si="1"/>
        <v>14083.6</v>
      </c>
      <c r="J47" s="28">
        <f t="shared" si="2"/>
        <v>1.5308260869565218</v>
      </c>
      <c r="K47" s="28">
        <f t="shared" si="9"/>
        <v>1.9482173913043481</v>
      </c>
    </row>
    <row r="48" spans="1:11" x14ac:dyDescent="0.15">
      <c r="A48">
        <v>46</v>
      </c>
      <c r="E48">
        <f t="shared" si="6"/>
        <v>9200</v>
      </c>
      <c r="F48">
        <f t="shared" si="7"/>
        <v>9200</v>
      </c>
      <c r="G48">
        <f t="shared" si="8"/>
        <v>184745</v>
      </c>
      <c r="H48">
        <f t="shared" si="8"/>
        <v>185150</v>
      </c>
      <c r="I48" s="26">
        <f t="shared" si="1"/>
        <v>14819.6</v>
      </c>
      <c r="J48" s="28">
        <f t="shared" si="2"/>
        <v>1.5765531914893618</v>
      </c>
      <c r="K48" s="28">
        <f t="shared" si="9"/>
        <v>1.9067659574468088</v>
      </c>
    </row>
    <row r="49" spans="1:11" x14ac:dyDescent="0.15">
      <c r="A49">
        <v>47</v>
      </c>
      <c r="E49">
        <f t="shared" si="6"/>
        <v>9400</v>
      </c>
      <c r="F49">
        <f t="shared" si="7"/>
        <v>9400</v>
      </c>
      <c r="G49">
        <f t="shared" si="8"/>
        <v>194145</v>
      </c>
      <c r="H49">
        <f t="shared" si="8"/>
        <v>194550</v>
      </c>
      <c r="I49" s="26">
        <f t="shared" si="1"/>
        <v>15571.6</v>
      </c>
      <c r="J49" s="28">
        <f t="shared" si="2"/>
        <v>1.6220416666666666</v>
      </c>
      <c r="K49" s="28">
        <f t="shared" si="9"/>
        <v>1.8670416666666669</v>
      </c>
    </row>
    <row r="50" spans="1:11" x14ac:dyDescent="0.15">
      <c r="A50">
        <v>48</v>
      </c>
      <c r="E50">
        <f t="shared" si="6"/>
        <v>9600</v>
      </c>
      <c r="F50">
        <f t="shared" si="7"/>
        <v>9600</v>
      </c>
      <c r="G50">
        <f t="shared" si="8"/>
        <v>203745</v>
      </c>
      <c r="H50">
        <f t="shared" si="8"/>
        <v>204150</v>
      </c>
      <c r="I50" s="26">
        <f t="shared" si="1"/>
        <v>16339.6</v>
      </c>
      <c r="J50" s="28">
        <f t="shared" si="2"/>
        <v>1.6673061224489796</v>
      </c>
      <c r="K50" s="28">
        <f t="shared" si="9"/>
        <v>1.8289387755102042</v>
      </c>
    </row>
    <row r="51" spans="1:11" x14ac:dyDescent="0.15">
      <c r="A51">
        <v>49</v>
      </c>
      <c r="E51">
        <f t="shared" si="6"/>
        <v>9800</v>
      </c>
      <c r="F51">
        <f t="shared" si="7"/>
        <v>9800</v>
      </c>
      <c r="G51">
        <f t="shared" si="8"/>
        <v>213545</v>
      </c>
      <c r="H51">
        <f t="shared" si="8"/>
        <v>213950</v>
      </c>
      <c r="I51" s="26">
        <f t="shared" si="1"/>
        <v>17123.599999999999</v>
      </c>
      <c r="J51" s="28">
        <f t="shared" si="2"/>
        <v>1.7123599999999999</v>
      </c>
      <c r="K51" s="28">
        <f t="shared" si="9"/>
        <v>1.7923600000000002</v>
      </c>
    </row>
    <row r="52" spans="1:11" x14ac:dyDescent="0.15">
      <c r="A52">
        <v>50</v>
      </c>
      <c r="E52">
        <f t="shared" si="6"/>
        <v>10000</v>
      </c>
      <c r="F52">
        <f t="shared" si="7"/>
        <v>10000</v>
      </c>
      <c r="G52">
        <f t="shared" si="8"/>
        <v>223545</v>
      </c>
      <c r="H52">
        <f t="shared" si="8"/>
        <v>223950</v>
      </c>
      <c r="I52" s="26">
        <f t="shared" si="1"/>
        <v>17923.600000000002</v>
      </c>
      <c r="J52" s="28">
        <f t="shared" si="2"/>
        <v>1.7572156862745101</v>
      </c>
      <c r="K52" s="28">
        <f t="shared" si="9"/>
        <v>1.7572156862745101</v>
      </c>
    </row>
    <row r="53" spans="1:11" x14ac:dyDescent="0.15">
      <c r="A53">
        <v>51</v>
      </c>
      <c r="E53">
        <f t="shared" si="6"/>
        <v>10200</v>
      </c>
      <c r="F53">
        <f t="shared" si="7"/>
        <v>10200</v>
      </c>
      <c r="G53">
        <f t="shared" si="8"/>
        <v>233745</v>
      </c>
      <c r="H53">
        <f t="shared" si="8"/>
        <v>234150</v>
      </c>
      <c r="I53" s="26">
        <f t="shared" si="1"/>
        <v>18739.600000000002</v>
      </c>
      <c r="J53" s="28">
        <f t="shared" si="2"/>
        <v>1.8018846153846155</v>
      </c>
      <c r="K53" s="28">
        <f t="shared" si="9"/>
        <v>1.7234230769230772</v>
      </c>
    </row>
    <row r="54" spans="1:11" x14ac:dyDescent="0.15">
      <c r="A54">
        <v>52</v>
      </c>
      <c r="E54">
        <f t="shared" si="6"/>
        <v>10400</v>
      </c>
      <c r="F54">
        <f t="shared" si="7"/>
        <v>10400</v>
      </c>
      <c r="G54">
        <f t="shared" si="8"/>
        <v>244145</v>
      </c>
      <c r="H54">
        <f t="shared" si="8"/>
        <v>244550</v>
      </c>
      <c r="I54" s="26">
        <f t="shared" si="1"/>
        <v>19571.600000000002</v>
      </c>
      <c r="J54" s="28">
        <f t="shared" si="2"/>
        <v>1.8463773584905663</v>
      </c>
      <c r="K54" s="28">
        <f t="shared" si="9"/>
        <v>1.6909056603773587</v>
      </c>
    </row>
    <row r="55" spans="1:11" x14ac:dyDescent="0.15">
      <c r="A55">
        <v>53</v>
      </c>
      <c r="E55">
        <f t="shared" si="6"/>
        <v>10600</v>
      </c>
      <c r="F55">
        <f t="shared" si="7"/>
        <v>10600</v>
      </c>
      <c r="G55">
        <f t="shared" si="8"/>
        <v>254745</v>
      </c>
      <c r="H55">
        <f t="shared" si="8"/>
        <v>255150</v>
      </c>
      <c r="I55" s="26">
        <f t="shared" si="1"/>
        <v>20419.600000000002</v>
      </c>
      <c r="J55" s="28">
        <f t="shared" si="2"/>
        <v>1.890703703703704</v>
      </c>
      <c r="K55" s="28">
        <f t="shared" si="9"/>
        <v>1.6595925925925927</v>
      </c>
    </row>
    <row r="56" spans="1:11" x14ac:dyDescent="0.15">
      <c r="A56">
        <v>54</v>
      </c>
      <c r="E56">
        <f t="shared" si="6"/>
        <v>10800</v>
      </c>
      <c r="F56">
        <f t="shared" si="7"/>
        <v>10800</v>
      </c>
      <c r="G56">
        <f t="shared" si="8"/>
        <v>265545</v>
      </c>
      <c r="H56">
        <f t="shared" si="8"/>
        <v>265950</v>
      </c>
      <c r="I56" s="26">
        <f t="shared" si="1"/>
        <v>21283.600000000002</v>
      </c>
      <c r="J56" s="28">
        <f t="shared" si="2"/>
        <v>1.9348727272727275</v>
      </c>
      <c r="K56" s="28">
        <f t="shared" si="9"/>
        <v>1.6294181818181821</v>
      </c>
    </row>
    <row r="57" spans="1:11" x14ac:dyDescent="0.15">
      <c r="A57">
        <v>55</v>
      </c>
      <c r="E57">
        <f t="shared" si="6"/>
        <v>11000</v>
      </c>
      <c r="F57">
        <f t="shared" si="7"/>
        <v>11000</v>
      </c>
      <c r="G57">
        <f t="shared" si="8"/>
        <v>276545</v>
      </c>
      <c r="H57">
        <f t="shared" si="8"/>
        <v>276950</v>
      </c>
      <c r="I57" s="26">
        <f t="shared" si="1"/>
        <v>22163.600000000002</v>
      </c>
      <c r="J57" s="28">
        <f t="shared" si="2"/>
        <v>1.9788928571428572</v>
      </c>
      <c r="K57" s="28">
        <f t="shared" si="9"/>
        <v>1.6003214285714287</v>
      </c>
    </row>
    <row r="58" spans="1:11" x14ac:dyDescent="0.15">
      <c r="A58">
        <v>56</v>
      </c>
      <c r="E58">
        <f t="shared" si="6"/>
        <v>11200</v>
      </c>
      <c r="F58">
        <f t="shared" si="7"/>
        <v>11200</v>
      </c>
      <c r="G58">
        <f t="shared" si="8"/>
        <v>287745</v>
      </c>
      <c r="H58">
        <f t="shared" si="8"/>
        <v>288150</v>
      </c>
      <c r="I58" s="26">
        <f t="shared" si="1"/>
        <v>23059.600000000002</v>
      </c>
      <c r="J58" s="28">
        <f t="shared" si="2"/>
        <v>2.0227719298245614</v>
      </c>
      <c r="K58" s="28">
        <f t="shared" si="9"/>
        <v>1.572245614035088</v>
      </c>
    </row>
    <row r="59" spans="1:11" x14ac:dyDescent="0.15">
      <c r="A59">
        <v>57</v>
      </c>
      <c r="E59">
        <f t="shared" si="6"/>
        <v>11400</v>
      </c>
      <c r="F59">
        <f t="shared" si="7"/>
        <v>11400</v>
      </c>
      <c r="G59">
        <f t="shared" si="8"/>
        <v>299145</v>
      </c>
      <c r="H59">
        <f t="shared" si="8"/>
        <v>299550</v>
      </c>
      <c r="I59" s="26">
        <f t="shared" si="1"/>
        <v>23971.600000000002</v>
      </c>
      <c r="J59" s="28">
        <f t="shared" si="2"/>
        <v>2.0665172413793105</v>
      </c>
      <c r="K59" s="28">
        <f t="shared" si="9"/>
        <v>1.545137931034483</v>
      </c>
    </row>
    <row r="60" spans="1:11" x14ac:dyDescent="0.15">
      <c r="A60">
        <v>58</v>
      </c>
      <c r="E60">
        <f t="shared" si="6"/>
        <v>11600</v>
      </c>
      <c r="F60">
        <f t="shared" si="7"/>
        <v>11600</v>
      </c>
      <c r="G60">
        <f t="shared" si="8"/>
        <v>310745</v>
      </c>
      <c r="H60">
        <f t="shared" si="8"/>
        <v>311150</v>
      </c>
      <c r="I60" s="26">
        <f t="shared" si="1"/>
        <v>24899.600000000002</v>
      </c>
      <c r="J60" s="28">
        <f t="shared" si="2"/>
        <v>2.1101355932203392</v>
      </c>
      <c r="K60" s="28">
        <f t="shared" si="9"/>
        <v>1.5189491525423731</v>
      </c>
    </row>
    <row r="61" spans="1:11" x14ac:dyDescent="0.15">
      <c r="A61">
        <v>59</v>
      </c>
      <c r="E61">
        <f t="shared" si="6"/>
        <v>11800</v>
      </c>
      <c r="F61">
        <f t="shared" si="7"/>
        <v>11800</v>
      </c>
      <c r="G61">
        <f t="shared" si="8"/>
        <v>322545</v>
      </c>
      <c r="H61">
        <f t="shared" si="8"/>
        <v>322950</v>
      </c>
      <c r="I61" s="26">
        <f t="shared" si="1"/>
        <v>25843.600000000002</v>
      </c>
      <c r="J61" s="28">
        <f t="shared" si="2"/>
        <v>2.1536333333333335</v>
      </c>
      <c r="K61" s="28">
        <f t="shared" si="9"/>
        <v>1.4936333333333336</v>
      </c>
    </row>
    <row r="62" spans="1:11" x14ac:dyDescent="0.15">
      <c r="A62">
        <v>60</v>
      </c>
      <c r="E62">
        <f t="shared" si="6"/>
        <v>12000</v>
      </c>
      <c r="F62">
        <f t="shared" si="7"/>
        <v>12000</v>
      </c>
      <c r="G62">
        <f t="shared" si="8"/>
        <v>334545</v>
      </c>
      <c r="H62">
        <f t="shared" si="8"/>
        <v>334950</v>
      </c>
      <c r="I62" s="26">
        <f t="shared" si="1"/>
        <v>26803.600000000002</v>
      </c>
      <c r="J62" s="28">
        <f t="shared" si="2"/>
        <v>2.197016393442623</v>
      </c>
      <c r="K62" s="28">
        <f t="shared" si="9"/>
        <v>1.4691475409836068</v>
      </c>
    </row>
    <row r="63" spans="1:11" x14ac:dyDescent="0.15">
      <c r="A63">
        <v>61</v>
      </c>
      <c r="E63">
        <f t="shared" si="6"/>
        <v>12200</v>
      </c>
      <c r="F63">
        <f t="shared" si="7"/>
        <v>12200</v>
      </c>
      <c r="G63">
        <f t="shared" si="8"/>
        <v>346745</v>
      </c>
      <c r="H63">
        <f t="shared" si="8"/>
        <v>347150</v>
      </c>
      <c r="I63" s="26">
        <f t="shared" si="1"/>
        <v>27779.600000000002</v>
      </c>
      <c r="J63" s="28">
        <f t="shared" si="2"/>
        <v>2.2402903225806452</v>
      </c>
      <c r="K63" s="28">
        <f t="shared" si="9"/>
        <v>1.445451612903226</v>
      </c>
    </row>
    <row r="64" spans="1:11" x14ac:dyDescent="0.15">
      <c r="A64">
        <v>62</v>
      </c>
      <c r="E64">
        <f t="shared" si="6"/>
        <v>12400</v>
      </c>
      <c r="F64">
        <f t="shared" si="7"/>
        <v>12400</v>
      </c>
      <c r="G64">
        <f t="shared" si="8"/>
        <v>359145</v>
      </c>
      <c r="H64">
        <f t="shared" si="8"/>
        <v>359550</v>
      </c>
      <c r="I64" s="26">
        <f t="shared" si="1"/>
        <v>28771.600000000002</v>
      </c>
      <c r="J64" s="28">
        <f t="shared" si="2"/>
        <v>2.2834603174603174</v>
      </c>
      <c r="K64" s="28">
        <f t="shared" si="9"/>
        <v>1.4225079365079367</v>
      </c>
    </row>
    <row r="65" spans="1:11" x14ac:dyDescent="0.15">
      <c r="A65">
        <v>63</v>
      </c>
      <c r="E65">
        <f t="shared" si="6"/>
        <v>12600</v>
      </c>
      <c r="F65">
        <f t="shared" si="7"/>
        <v>12600</v>
      </c>
      <c r="G65">
        <f t="shared" si="8"/>
        <v>371745</v>
      </c>
      <c r="H65">
        <f t="shared" si="8"/>
        <v>372150</v>
      </c>
      <c r="I65" s="26">
        <f t="shared" si="1"/>
        <v>29779.600000000002</v>
      </c>
      <c r="J65" s="28">
        <f t="shared" si="2"/>
        <v>2.3265312500000004</v>
      </c>
      <c r="K65" s="28">
        <f t="shared" si="9"/>
        <v>1.4002812500000001</v>
      </c>
    </row>
    <row r="66" spans="1:11" x14ac:dyDescent="0.15">
      <c r="A66">
        <v>64</v>
      </c>
      <c r="E66">
        <f t="shared" si="6"/>
        <v>12800</v>
      </c>
      <c r="F66">
        <f t="shared" si="7"/>
        <v>12800</v>
      </c>
      <c r="G66">
        <f t="shared" si="8"/>
        <v>384545</v>
      </c>
      <c r="H66">
        <f t="shared" si="8"/>
        <v>384950</v>
      </c>
      <c r="I66" s="26">
        <f t="shared" si="1"/>
        <v>30803.600000000002</v>
      </c>
      <c r="J66" s="28">
        <f t="shared" si="2"/>
        <v>2.3695076923076925</v>
      </c>
      <c r="K66" s="28">
        <f t="shared" si="9"/>
        <v>1.3787384615384617</v>
      </c>
    </row>
    <row r="67" spans="1:11" x14ac:dyDescent="0.15">
      <c r="A67">
        <v>65</v>
      </c>
      <c r="E67">
        <f t="shared" si="6"/>
        <v>13000</v>
      </c>
      <c r="F67">
        <f t="shared" si="7"/>
        <v>13000</v>
      </c>
      <c r="G67">
        <f t="shared" si="8"/>
        <v>397545</v>
      </c>
      <c r="H67">
        <f t="shared" si="8"/>
        <v>397950</v>
      </c>
      <c r="I67" s="26">
        <f t="shared" si="1"/>
        <v>31843.600000000002</v>
      </c>
      <c r="J67" s="28">
        <f t="shared" si="2"/>
        <v>2.4123939393939398</v>
      </c>
      <c r="K67" s="28">
        <f t="shared" si="9"/>
        <v>1.3578484848484851</v>
      </c>
    </row>
    <row r="68" spans="1:11" x14ac:dyDescent="0.15">
      <c r="A68">
        <v>66</v>
      </c>
      <c r="E68">
        <f t="shared" si="6"/>
        <v>13200</v>
      </c>
      <c r="F68">
        <f t="shared" si="7"/>
        <v>13200</v>
      </c>
      <c r="G68">
        <f t="shared" si="8"/>
        <v>410745</v>
      </c>
      <c r="H68">
        <f t="shared" si="8"/>
        <v>411150</v>
      </c>
      <c r="I68" s="26">
        <f t="shared" ref="I68:I102" si="10">G68*0.08+40</f>
        <v>32899.599999999999</v>
      </c>
      <c r="J68" s="28">
        <f t="shared" ref="J68:J102" si="11">I68/E69</f>
        <v>2.455194029850746</v>
      </c>
      <c r="K68" s="28">
        <f t="shared" ref="K68:K102" si="12">I$52/E69</f>
        <v>1.337582089552239</v>
      </c>
    </row>
    <row r="69" spans="1:11" x14ac:dyDescent="0.15">
      <c r="A69">
        <v>67</v>
      </c>
      <c r="E69">
        <f t="shared" si="6"/>
        <v>13400</v>
      </c>
      <c r="F69">
        <f t="shared" si="7"/>
        <v>13400</v>
      </c>
      <c r="G69">
        <f t="shared" si="8"/>
        <v>424145</v>
      </c>
      <c r="H69">
        <f t="shared" si="8"/>
        <v>424550</v>
      </c>
      <c r="I69" s="26">
        <f t="shared" si="10"/>
        <v>33971.599999999999</v>
      </c>
      <c r="J69" s="28">
        <f t="shared" si="11"/>
        <v>2.4979117647058824</v>
      </c>
      <c r="K69" s="28">
        <f t="shared" si="12"/>
        <v>1.3179117647058824</v>
      </c>
    </row>
    <row r="70" spans="1:11" x14ac:dyDescent="0.15">
      <c r="A70">
        <v>68</v>
      </c>
      <c r="E70">
        <f t="shared" si="6"/>
        <v>13600</v>
      </c>
      <c r="F70">
        <f t="shared" si="7"/>
        <v>13600</v>
      </c>
      <c r="G70">
        <f t="shared" si="8"/>
        <v>437745</v>
      </c>
      <c r="H70">
        <f t="shared" si="8"/>
        <v>438150</v>
      </c>
      <c r="I70" s="26">
        <f t="shared" si="10"/>
        <v>35059.599999999999</v>
      </c>
      <c r="J70" s="28">
        <f t="shared" si="11"/>
        <v>2.5405507246376811</v>
      </c>
      <c r="K70" s="28">
        <f t="shared" si="12"/>
        <v>1.2988115942028986</v>
      </c>
    </row>
    <row r="71" spans="1:11" x14ac:dyDescent="0.15">
      <c r="A71">
        <v>69</v>
      </c>
      <c r="E71">
        <f t="shared" si="6"/>
        <v>13800</v>
      </c>
      <c r="F71">
        <f t="shared" si="7"/>
        <v>13800</v>
      </c>
      <c r="G71">
        <f t="shared" si="8"/>
        <v>451545</v>
      </c>
      <c r="H71">
        <f t="shared" si="8"/>
        <v>451950</v>
      </c>
      <c r="I71" s="26">
        <f t="shared" si="10"/>
        <v>36163.599999999999</v>
      </c>
      <c r="J71" s="28">
        <f t="shared" si="11"/>
        <v>2.5831142857142857</v>
      </c>
      <c r="K71" s="28">
        <f t="shared" si="12"/>
        <v>1.280257142857143</v>
      </c>
    </row>
    <row r="72" spans="1:11" x14ac:dyDescent="0.15">
      <c r="A72">
        <v>70</v>
      </c>
      <c r="E72">
        <f t="shared" si="6"/>
        <v>14000</v>
      </c>
      <c r="F72">
        <f t="shared" si="7"/>
        <v>14000</v>
      </c>
      <c r="G72">
        <f t="shared" si="8"/>
        <v>465545</v>
      </c>
      <c r="H72">
        <f t="shared" si="8"/>
        <v>465950</v>
      </c>
      <c r="I72" s="26">
        <f t="shared" si="10"/>
        <v>37283.599999999999</v>
      </c>
      <c r="J72" s="28">
        <f t="shared" si="11"/>
        <v>2.6256056338028166</v>
      </c>
      <c r="K72" s="28">
        <f t="shared" si="12"/>
        <v>1.2622253521126763</v>
      </c>
    </row>
    <row r="73" spans="1:11" x14ac:dyDescent="0.15">
      <c r="A73">
        <v>71</v>
      </c>
      <c r="E73">
        <f t="shared" si="6"/>
        <v>14200</v>
      </c>
      <c r="F73">
        <f t="shared" si="7"/>
        <v>14200</v>
      </c>
      <c r="G73">
        <f t="shared" si="8"/>
        <v>479745</v>
      </c>
      <c r="H73">
        <f t="shared" si="8"/>
        <v>480150</v>
      </c>
      <c r="I73" s="26">
        <f t="shared" si="10"/>
        <v>38419.599999999999</v>
      </c>
      <c r="J73" s="28">
        <f t="shared" si="11"/>
        <v>2.6680277777777777</v>
      </c>
      <c r="K73" s="28">
        <f t="shared" si="12"/>
        <v>1.2446944444444445</v>
      </c>
    </row>
    <row r="74" spans="1:11" x14ac:dyDescent="0.15">
      <c r="A74">
        <v>72</v>
      </c>
      <c r="E74">
        <f t="shared" si="6"/>
        <v>14400</v>
      </c>
      <c r="F74">
        <f t="shared" si="7"/>
        <v>14400</v>
      </c>
      <c r="G74">
        <f t="shared" si="8"/>
        <v>494145</v>
      </c>
      <c r="H74">
        <f t="shared" si="8"/>
        <v>494550</v>
      </c>
      <c r="I74" s="26">
        <f t="shared" si="10"/>
        <v>39571.599999999999</v>
      </c>
      <c r="J74" s="28">
        <f t="shared" si="11"/>
        <v>2.7103835616438356</v>
      </c>
      <c r="K74" s="28">
        <f t="shared" si="12"/>
        <v>1.2276438356164385</v>
      </c>
    </row>
    <row r="75" spans="1:11" x14ac:dyDescent="0.15">
      <c r="A75">
        <v>73</v>
      </c>
      <c r="E75">
        <f t="shared" si="6"/>
        <v>14600</v>
      </c>
      <c r="F75">
        <f t="shared" si="7"/>
        <v>14600</v>
      </c>
      <c r="G75">
        <f t="shared" si="8"/>
        <v>508745</v>
      </c>
      <c r="H75">
        <f t="shared" si="8"/>
        <v>509150</v>
      </c>
      <c r="I75" s="26">
        <f t="shared" si="10"/>
        <v>40739.599999999999</v>
      </c>
      <c r="J75" s="28">
        <f t="shared" si="11"/>
        <v>2.7526756756756754</v>
      </c>
      <c r="K75" s="28">
        <f t="shared" si="12"/>
        <v>1.2110540540540542</v>
      </c>
    </row>
    <row r="76" spans="1:11" x14ac:dyDescent="0.15">
      <c r="A76">
        <v>74</v>
      </c>
      <c r="E76">
        <f t="shared" si="6"/>
        <v>14800</v>
      </c>
      <c r="F76">
        <f t="shared" si="7"/>
        <v>14800</v>
      </c>
      <c r="G76">
        <f t="shared" si="8"/>
        <v>523545</v>
      </c>
      <c r="H76">
        <f t="shared" si="8"/>
        <v>523950</v>
      </c>
      <c r="I76" s="26">
        <f t="shared" si="10"/>
        <v>41923.599999999999</v>
      </c>
      <c r="J76" s="28">
        <f t="shared" si="11"/>
        <v>2.7949066666666664</v>
      </c>
      <c r="K76" s="28">
        <f t="shared" si="12"/>
        <v>1.1949066666666668</v>
      </c>
    </row>
    <row r="77" spans="1:11" x14ac:dyDescent="0.15">
      <c r="A77">
        <v>75</v>
      </c>
      <c r="E77">
        <f t="shared" si="6"/>
        <v>15000</v>
      </c>
      <c r="F77">
        <f t="shared" si="7"/>
        <v>15000</v>
      </c>
      <c r="G77">
        <f t="shared" si="8"/>
        <v>538545</v>
      </c>
      <c r="H77">
        <f t="shared" si="8"/>
        <v>538950</v>
      </c>
      <c r="I77" s="26">
        <f t="shared" si="10"/>
        <v>43123.6</v>
      </c>
      <c r="J77" s="28">
        <f t="shared" si="11"/>
        <v>2.837078947368421</v>
      </c>
      <c r="K77" s="28">
        <f t="shared" si="12"/>
        <v>1.1791842105263159</v>
      </c>
    </row>
    <row r="78" spans="1:11" x14ac:dyDescent="0.15">
      <c r="A78">
        <v>76</v>
      </c>
      <c r="E78">
        <f t="shared" si="6"/>
        <v>15200</v>
      </c>
      <c r="F78">
        <f t="shared" si="7"/>
        <v>15200</v>
      </c>
      <c r="G78">
        <f t="shared" si="8"/>
        <v>553745</v>
      </c>
      <c r="H78">
        <f t="shared" si="8"/>
        <v>554150</v>
      </c>
      <c r="I78" s="26">
        <f t="shared" si="10"/>
        <v>44339.6</v>
      </c>
      <c r="J78" s="28">
        <f t="shared" si="11"/>
        <v>2.8791948051948051</v>
      </c>
      <c r="K78" s="28">
        <f t="shared" si="12"/>
        <v>1.1638701298701299</v>
      </c>
    </row>
    <row r="79" spans="1:11" x14ac:dyDescent="0.15">
      <c r="A79">
        <v>77</v>
      </c>
      <c r="E79">
        <f t="shared" si="6"/>
        <v>15400</v>
      </c>
      <c r="F79">
        <f t="shared" si="7"/>
        <v>15400</v>
      </c>
      <c r="G79">
        <f t="shared" si="8"/>
        <v>569145</v>
      </c>
      <c r="H79">
        <f t="shared" si="8"/>
        <v>569550</v>
      </c>
      <c r="I79" s="26">
        <f t="shared" si="10"/>
        <v>45571.6</v>
      </c>
      <c r="J79" s="28">
        <f t="shared" si="11"/>
        <v>2.9212564102564103</v>
      </c>
      <c r="K79" s="28">
        <f t="shared" si="12"/>
        <v>1.1489487179487181</v>
      </c>
    </row>
    <row r="80" spans="1:11" x14ac:dyDescent="0.15">
      <c r="A80">
        <v>78</v>
      </c>
      <c r="E80">
        <f t="shared" si="6"/>
        <v>15600</v>
      </c>
      <c r="F80">
        <f t="shared" si="7"/>
        <v>15600</v>
      </c>
      <c r="G80">
        <f t="shared" si="8"/>
        <v>584745</v>
      </c>
      <c r="H80">
        <f t="shared" si="8"/>
        <v>585150</v>
      </c>
      <c r="I80" s="26">
        <f t="shared" si="10"/>
        <v>46819.6</v>
      </c>
      <c r="J80" s="28">
        <f t="shared" si="11"/>
        <v>2.9632658227848099</v>
      </c>
      <c r="K80" s="28">
        <f t="shared" si="12"/>
        <v>1.1344050632911393</v>
      </c>
    </row>
    <row r="81" spans="1:11" x14ac:dyDescent="0.15">
      <c r="A81">
        <v>79</v>
      </c>
      <c r="E81">
        <f t="shared" si="6"/>
        <v>15800</v>
      </c>
      <c r="F81">
        <f t="shared" si="7"/>
        <v>15800</v>
      </c>
      <c r="G81">
        <f t="shared" si="8"/>
        <v>600545</v>
      </c>
      <c r="H81">
        <f t="shared" si="8"/>
        <v>600950</v>
      </c>
      <c r="I81" s="26">
        <f t="shared" si="10"/>
        <v>48083.6</v>
      </c>
      <c r="J81" s="28">
        <f t="shared" si="11"/>
        <v>3.0052249999999998</v>
      </c>
      <c r="K81" s="28">
        <f t="shared" si="12"/>
        <v>1.120225</v>
      </c>
    </row>
    <row r="82" spans="1:11" x14ac:dyDescent="0.15">
      <c r="A82">
        <v>80</v>
      </c>
      <c r="E82">
        <f t="shared" si="6"/>
        <v>16000</v>
      </c>
      <c r="F82">
        <f t="shared" si="7"/>
        <v>16000</v>
      </c>
      <c r="G82">
        <f t="shared" si="8"/>
        <v>616545</v>
      </c>
      <c r="H82">
        <f t="shared" si="8"/>
        <v>616950</v>
      </c>
      <c r="I82" s="26">
        <f t="shared" si="10"/>
        <v>49363.6</v>
      </c>
      <c r="J82" s="28">
        <f t="shared" si="11"/>
        <v>3.0471358024691355</v>
      </c>
      <c r="K82" s="28">
        <f t="shared" si="12"/>
        <v>1.1063950617283953</v>
      </c>
    </row>
    <row r="83" spans="1:11" x14ac:dyDescent="0.15">
      <c r="A83">
        <v>81</v>
      </c>
      <c r="E83">
        <f t="shared" si="6"/>
        <v>16200</v>
      </c>
      <c r="F83">
        <f t="shared" si="7"/>
        <v>16200</v>
      </c>
      <c r="G83">
        <f t="shared" si="8"/>
        <v>632745</v>
      </c>
      <c r="H83">
        <f t="shared" si="8"/>
        <v>633150</v>
      </c>
      <c r="I83" s="26">
        <f t="shared" si="10"/>
        <v>50659.6</v>
      </c>
      <c r="J83" s="28">
        <f t="shared" si="11"/>
        <v>3.089</v>
      </c>
      <c r="K83" s="28">
        <f t="shared" si="12"/>
        <v>1.0929024390243904</v>
      </c>
    </row>
    <row r="84" spans="1:11" x14ac:dyDescent="0.15">
      <c r="A84">
        <v>82</v>
      </c>
      <c r="E84">
        <f t="shared" si="6"/>
        <v>16400</v>
      </c>
      <c r="F84">
        <f t="shared" si="7"/>
        <v>16400</v>
      </c>
      <c r="G84">
        <f t="shared" si="8"/>
        <v>649145</v>
      </c>
      <c r="H84">
        <f t="shared" si="8"/>
        <v>649550</v>
      </c>
      <c r="I84" s="26">
        <f t="shared" si="10"/>
        <v>51971.6</v>
      </c>
      <c r="J84" s="28">
        <f t="shared" si="11"/>
        <v>3.1308192771084338</v>
      </c>
      <c r="K84" s="28">
        <f t="shared" si="12"/>
        <v>1.0797349397590363</v>
      </c>
    </row>
    <row r="85" spans="1:11" x14ac:dyDescent="0.15">
      <c r="A85">
        <v>83</v>
      </c>
      <c r="E85">
        <f t="shared" si="6"/>
        <v>16600</v>
      </c>
      <c r="F85">
        <f t="shared" si="7"/>
        <v>16600</v>
      </c>
      <c r="G85">
        <f t="shared" si="8"/>
        <v>665745</v>
      </c>
      <c r="H85">
        <f t="shared" si="8"/>
        <v>666150</v>
      </c>
      <c r="I85" s="26">
        <f t="shared" si="10"/>
        <v>53299.6</v>
      </c>
      <c r="J85" s="28">
        <f t="shared" si="11"/>
        <v>3.172595238095238</v>
      </c>
      <c r="K85" s="28">
        <f t="shared" si="12"/>
        <v>1.0668809523809526</v>
      </c>
    </row>
    <row r="86" spans="1:11" x14ac:dyDescent="0.15">
      <c r="A86">
        <v>84</v>
      </c>
      <c r="E86">
        <f t="shared" si="6"/>
        <v>16800</v>
      </c>
      <c r="F86">
        <f t="shared" si="7"/>
        <v>16800</v>
      </c>
      <c r="G86">
        <f t="shared" si="8"/>
        <v>682545</v>
      </c>
      <c r="H86">
        <f t="shared" si="8"/>
        <v>682950</v>
      </c>
      <c r="I86" s="26">
        <f t="shared" si="10"/>
        <v>54643.6</v>
      </c>
      <c r="J86" s="28">
        <f t="shared" si="11"/>
        <v>3.2143294117647057</v>
      </c>
      <c r="K86" s="28">
        <f t="shared" si="12"/>
        <v>1.054329411764706</v>
      </c>
    </row>
    <row r="87" spans="1:11" x14ac:dyDescent="0.15">
      <c r="A87">
        <v>85</v>
      </c>
      <c r="E87">
        <f t="shared" si="6"/>
        <v>17000</v>
      </c>
      <c r="F87">
        <f t="shared" si="7"/>
        <v>17000</v>
      </c>
      <c r="G87">
        <f t="shared" si="8"/>
        <v>699545</v>
      </c>
      <c r="H87">
        <f t="shared" si="8"/>
        <v>699950</v>
      </c>
      <c r="I87" s="26">
        <f t="shared" si="10"/>
        <v>56003.6</v>
      </c>
      <c r="J87" s="28">
        <f t="shared" si="11"/>
        <v>3.2560232558139535</v>
      </c>
      <c r="K87" s="28">
        <f t="shared" si="12"/>
        <v>1.0420697674418606</v>
      </c>
    </row>
    <row r="88" spans="1:11" x14ac:dyDescent="0.15">
      <c r="A88">
        <v>86</v>
      </c>
      <c r="E88">
        <f t="shared" si="6"/>
        <v>17200</v>
      </c>
      <c r="F88">
        <f t="shared" si="7"/>
        <v>17200</v>
      </c>
      <c r="G88">
        <f t="shared" si="8"/>
        <v>716745</v>
      </c>
      <c r="H88">
        <f t="shared" si="8"/>
        <v>717150</v>
      </c>
      <c r="I88" s="26">
        <f t="shared" si="10"/>
        <v>57379.6</v>
      </c>
      <c r="J88" s="28">
        <f t="shared" si="11"/>
        <v>3.2976781609195402</v>
      </c>
      <c r="K88" s="28">
        <f t="shared" si="12"/>
        <v>1.0300919540229887</v>
      </c>
    </row>
    <row r="89" spans="1:11" x14ac:dyDescent="0.15">
      <c r="A89">
        <v>87</v>
      </c>
      <c r="E89">
        <f t="shared" si="6"/>
        <v>17400</v>
      </c>
      <c r="F89">
        <f t="shared" si="7"/>
        <v>17400</v>
      </c>
      <c r="G89">
        <f t="shared" si="8"/>
        <v>734145</v>
      </c>
      <c r="H89">
        <f t="shared" si="8"/>
        <v>734550</v>
      </c>
      <c r="I89" s="26">
        <f t="shared" si="10"/>
        <v>58771.6</v>
      </c>
      <c r="J89" s="28">
        <f t="shared" si="11"/>
        <v>3.3392954545454545</v>
      </c>
      <c r="K89" s="28">
        <f t="shared" si="12"/>
        <v>1.0183863636363637</v>
      </c>
    </row>
    <row r="90" spans="1:11" x14ac:dyDescent="0.15">
      <c r="A90">
        <v>88</v>
      </c>
      <c r="E90">
        <f t="shared" si="6"/>
        <v>17600</v>
      </c>
      <c r="F90">
        <f t="shared" si="7"/>
        <v>17600</v>
      </c>
      <c r="G90">
        <f t="shared" si="8"/>
        <v>751745</v>
      </c>
      <c r="H90">
        <f t="shared" si="8"/>
        <v>752150</v>
      </c>
      <c r="I90" s="26">
        <f t="shared" si="10"/>
        <v>60179.6</v>
      </c>
      <c r="J90" s="28">
        <f t="shared" si="11"/>
        <v>3.3808764044943818</v>
      </c>
      <c r="K90" s="28">
        <f t="shared" si="12"/>
        <v>1.0069438202247192</v>
      </c>
    </row>
    <row r="91" spans="1:11" x14ac:dyDescent="0.15">
      <c r="A91">
        <v>89</v>
      </c>
      <c r="E91">
        <f t="shared" si="6"/>
        <v>17800</v>
      </c>
      <c r="F91">
        <f t="shared" si="7"/>
        <v>17800</v>
      </c>
      <c r="G91">
        <f t="shared" si="8"/>
        <v>769545</v>
      </c>
      <c r="H91">
        <f t="shared" si="8"/>
        <v>769950</v>
      </c>
      <c r="I91" s="26">
        <f t="shared" si="10"/>
        <v>61603.6</v>
      </c>
      <c r="J91" s="28">
        <f t="shared" si="11"/>
        <v>3.422422222222222</v>
      </c>
      <c r="K91" s="28">
        <f t="shared" si="12"/>
        <v>0.99575555555555573</v>
      </c>
    </row>
    <row r="92" spans="1:11" x14ac:dyDescent="0.15">
      <c r="A92">
        <v>90</v>
      </c>
      <c r="E92">
        <f t="shared" si="6"/>
        <v>18000</v>
      </c>
      <c r="F92">
        <f t="shared" si="7"/>
        <v>18000</v>
      </c>
      <c r="G92">
        <f t="shared" si="8"/>
        <v>787545</v>
      </c>
      <c r="H92">
        <f t="shared" si="8"/>
        <v>787950</v>
      </c>
      <c r="I92" s="26">
        <f t="shared" si="10"/>
        <v>63043.6</v>
      </c>
      <c r="J92" s="28">
        <f t="shared" si="11"/>
        <v>3.4639340659340658</v>
      </c>
      <c r="K92" s="28">
        <f t="shared" si="12"/>
        <v>0.98481318681318697</v>
      </c>
    </row>
    <row r="93" spans="1:11" x14ac:dyDescent="0.15">
      <c r="A93">
        <v>91</v>
      </c>
      <c r="E93">
        <f t="shared" si="6"/>
        <v>18200</v>
      </c>
      <c r="F93">
        <f t="shared" si="7"/>
        <v>18200</v>
      </c>
      <c r="G93">
        <f t="shared" si="8"/>
        <v>805745</v>
      </c>
      <c r="H93">
        <f t="shared" si="8"/>
        <v>806150</v>
      </c>
      <c r="I93" s="26">
        <f t="shared" si="10"/>
        <v>64499.6</v>
      </c>
      <c r="J93" s="28">
        <f t="shared" si="11"/>
        <v>3.5054130434782609</v>
      </c>
      <c r="K93" s="28">
        <f t="shared" si="12"/>
        <v>0.97410869565217406</v>
      </c>
    </row>
    <row r="94" spans="1:11" x14ac:dyDescent="0.15">
      <c r="A94">
        <v>92</v>
      </c>
      <c r="E94">
        <f t="shared" si="6"/>
        <v>18400</v>
      </c>
      <c r="F94">
        <f t="shared" si="7"/>
        <v>18400</v>
      </c>
      <c r="G94">
        <f t="shared" si="8"/>
        <v>824145</v>
      </c>
      <c r="H94">
        <f t="shared" si="8"/>
        <v>824550</v>
      </c>
      <c r="I94" s="26">
        <f t="shared" si="10"/>
        <v>65971.600000000006</v>
      </c>
      <c r="J94" s="28">
        <f t="shared" si="11"/>
        <v>3.5468602150537638</v>
      </c>
      <c r="K94" s="28">
        <f t="shared" si="12"/>
        <v>0.96363440860215066</v>
      </c>
    </row>
    <row r="95" spans="1:11" x14ac:dyDescent="0.15">
      <c r="A95">
        <v>93</v>
      </c>
      <c r="E95">
        <f t="shared" si="6"/>
        <v>18600</v>
      </c>
      <c r="F95">
        <f t="shared" si="7"/>
        <v>18600</v>
      </c>
      <c r="G95">
        <f t="shared" si="8"/>
        <v>842745</v>
      </c>
      <c r="H95">
        <f t="shared" si="8"/>
        <v>843150</v>
      </c>
      <c r="I95" s="26">
        <f t="shared" si="10"/>
        <v>67459.600000000006</v>
      </c>
      <c r="J95" s="28">
        <f t="shared" si="11"/>
        <v>3.5882765957446812</v>
      </c>
      <c r="K95" s="28">
        <f t="shared" si="12"/>
        <v>0.95338297872340438</v>
      </c>
    </row>
    <row r="96" spans="1:11" x14ac:dyDescent="0.15">
      <c r="A96">
        <v>94</v>
      </c>
      <c r="E96">
        <f t="shared" si="6"/>
        <v>18800</v>
      </c>
      <c r="F96">
        <f t="shared" si="7"/>
        <v>18800</v>
      </c>
      <c r="G96">
        <f t="shared" si="8"/>
        <v>861545</v>
      </c>
      <c r="H96">
        <f t="shared" si="8"/>
        <v>861950</v>
      </c>
      <c r="I96" s="26">
        <f t="shared" si="10"/>
        <v>68963.600000000006</v>
      </c>
      <c r="J96" s="28">
        <f t="shared" si="11"/>
        <v>3.6296631578947371</v>
      </c>
      <c r="K96" s="28">
        <f t="shared" si="12"/>
        <v>0.94334736842105271</v>
      </c>
    </row>
    <row r="97" spans="1:11" x14ac:dyDescent="0.15">
      <c r="A97">
        <v>95</v>
      </c>
      <c r="E97">
        <f t="shared" si="6"/>
        <v>19000</v>
      </c>
      <c r="F97">
        <f t="shared" si="7"/>
        <v>19000</v>
      </c>
      <c r="G97">
        <f t="shared" si="8"/>
        <v>880545</v>
      </c>
      <c r="H97">
        <f t="shared" si="8"/>
        <v>880950</v>
      </c>
      <c r="I97" s="26">
        <f t="shared" si="10"/>
        <v>70483.600000000006</v>
      </c>
      <c r="J97" s="28">
        <f t="shared" si="11"/>
        <v>3.6710208333333338</v>
      </c>
      <c r="K97" s="28">
        <f t="shared" si="12"/>
        <v>0.93352083333333347</v>
      </c>
    </row>
    <row r="98" spans="1:11" x14ac:dyDescent="0.15">
      <c r="A98">
        <v>96</v>
      </c>
      <c r="E98">
        <f t="shared" ref="E98:E102" si="13">A98*200</f>
        <v>19200</v>
      </c>
      <c r="F98">
        <f t="shared" ref="F98:F102" si="14">A98*200</f>
        <v>19200</v>
      </c>
      <c r="G98">
        <f t="shared" ref="G98:H102" si="15">G97+E98</f>
        <v>899745</v>
      </c>
      <c r="H98">
        <f t="shared" si="15"/>
        <v>900150</v>
      </c>
      <c r="I98" s="26">
        <f t="shared" si="10"/>
        <v>72019.600000000006</v>
      </c>
      <c r="J98" s="28">
        <f t="shared" si="11"/>
        <v>3.712350515463918</v>
      </c>
      <c r="K98" s="28">
        <f t="shared" si="12"/>
        <v>0.92389690721649498</v>
      </c>
    </row>
    <row r="99" spans="1:11" x14ac:dyDescent="0.15">
      <c r="A99">
        <v>97</v>
      </c>
      <c r="E99">
        <f t="shared" si="13"/>
        <v>19400</v>
      </c>
      <c r="F99">
        <f t="shared" si="14"/>
        <v>19400</v>
      </c>
      <c r="G99">
        <f t="shared" si="15"/>
        <v>919145</v>
      </c>
      <c r="H99">
        <f t="shared" si="15"/>
        <v>919550</v>
      </c>
      <c r="I99" s="26">
        <f t="shared" si="10"/>
        <v>73571.600000000006</v>
      </c>
      <c r="J99" s="28">
        <f t="shared" si="11"/>
        <v>3.7536530612244903</v>
      </c>
      <c r="K99" s="28">
        <f t="shared" si="12"/>
        <v>0.91446938775510211</v>
      </c>
    </row>
    <row r="100" spans="1:11" x14ac:dyDescent="0.15">
      <c r="A100">
        <v>98</v>
      </c>
      <c r="E100">
        <f t="shared" si="13"/>
        <v>19600</v>
      </c>
      <c r="F100">
        <f t="shared" si="14"/>
        <v>19600</v>
      </c>
      <c r="G100">
        <f t="shared" si="15"/>
        <v>938745</v>
      </c>
      <c r="H100">
        <f t="shared" si="15"/>
        <v>939150</v>
      </c>
      <c r="I100" s="26">
        <f t="shared" si="10"/>
        <v>75139.600000000006</v>
      </c>
      <c r="J100" s="28">
        <f t="shared" si="11"/>
        <v>3.794929292929293</v>
      </c>
      <c r="K100" s="28">
        <f t="shared" si="12"/>
        <v>0.90523232323232339</v>
      </c>
    </row>
    <row r="101" spans="1:11" x14ac:dyDescent="0.15">
      <c r="A101">
        <v>99</v>
      </c>
      <c r="E101">
        <f t="shared" si="13"/>
        <v>19800</v>
      </c>
      <c r="F101">
        <f t="shared" si="14"/>
        <v>19800</v>
      </c>
      <c r="G101">
        <f t="shared" si="15"/>
        <v>958545</v>
      </c>
      <c r="H101">
        <f t="shared" si="15"/>
        <v>958950</v>
      </c>
      <c r="I101" s="26">
        <f t="shared" si="10"/>
        <v>76723.600000000006</v>
      </c>
      <c r="J101" s="28">
        <f t="shared" si="11"/>
        <v>3.8361800000000001</v>
      </c>
      <c r="K101" s="28">
        <f t="shared" si="12"/>
        <v>0.89618000000000009</v>
      </c>
    </row>
    <row r="102" spans="1:11" x14ac:dyDescent="0.15">
      <c r="A102">
        <v>100</v>
      </c>
      <c r="E102">
        <f t="shared" si="13"/>
        <v>20000</v>
      </c>
      <c r="F102">
        <f t="shared" si="14"/>
        <v>20000</v>
      </c>
      <c r="G102">
        <f t="shared" si="15"/>
        <v>978545</v>
      </c>
      <c r="H102">
        <f t="shared" si="15"/>
        <v>978950</v>
      </c>
      <c r="I102" s="26">
        <f t="shared" si="10"/>
        <v>78323.600000000006</v>
      </c>
      <c r="J102" s="28" t="e">
        <f t="shared" si="11"/>
        <v>#DIV/0!</v>
      </c>
      <c r="K102" s="28" t="e">
        <f t="shared" si="12"/>
        <v>#DIV/0!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6"/>
  <sheetViews>
    <sheetView workbookViewId="0">
      <selection activeCell="G13" sqref="G13"/>
    </sheetView>
  </sheetViews>
  <sheetFormatPr defaultRowHeight="13.5" x14ac:dyDescent="0.15"/>
  <cols>
    <col min="6" max="6" width="9.875" bestFit="1" customWidth="1"/>
  </cols>
  <sheetData>
    <row r="1" spans="1:7" x14ac:dyDescent="0.15">
      <c r="A1" t="s">
        <v>6</v>
      </c>
      <c r="B1">
        <v>40</v>
      </c>
      <c r="C1">
        <v>40</v>
      </c>
    </row>
    <row r="2" spans="1:7" x14ac:dyDescent="0.15">
      <c r="A2" t="s">
        <v>5</v>
      </c>
      <c r="B2">
        <v>0.09</v>
      </c>
      <c r="C2">
        <v>0.09</v>
      </c>
    </row>
    <row r="3" spans="1:7" x14ac:dyDescent="0.15">
      <c r="A3" t="s">
        <v>8</v>
      </c>
      <c r="B3">
        <v>3500</v>
      </c>
      <c r="C3">
        <v>3500</v>
      </c>
    </row>
    <row r="4" spans="1:7" x14ac:dyDescent="0.15">
      <c r="A4" t="s">
        <v>7</v>
      </c>
      <c r="B4">
        <v>0.03</v>
      </c>
      <c r="C4">
        <v>0.03</v>
      </c>
    </row>
    <row r="5" spans="1:7" x14ac:dyDescent="0.15">
      <c r="B5" s="30" t="s">
        <v>17</v>
      </c>
      <c r="C5" s="30"/>
      <c r="D5" s="1" t="s">
        <v>19</v>
      </c>
      <c r="F5" s="1" t="s">
        <v>16</v>
      </c>
    </row>
    <row r="6" spans="1:7" x14ac:dyDescent="0.15">
      <c r="A6" t="s">
        <v>0</v>
      </c>
      <c r="B6" t="s">
        <v>20</v>
      </c>
      <c r="C6" t="s">
        <v>21</v>
      </c>
      <c r="D6" t="s">
        <v>22</v>
      </c>
      <c r="E6" t="s">
        <v>23</v>
      </c>
      <c r="F6" t="s">
        <v>24</v>
      </c>
      <c r="G6" t="s">
        <v>25</v>
      </c>
    </row>
    <row r="7" spans="1:7" x14ac:dyDescent="0.15">
      <c r="A7">
        <v>1</v>
      </c>
      <c r="B7">
        <f>xp!$G3*B$2+B$1</f>
        <v>40</v>
      </c>
      <c r="C7">
        <f>xp!$H3*C$2+C$1</f>
        <v>40</v>
      </c>
      <c r="D7" s="2">
        <f>B7/xp!E4</f>
        <v>0.22222222222222221</v>
      </c>
      <c r="E7" s="2">
        <f>C7/xp!F4</f>
        <v>0.22222222222222221</v>
      </c>
      <c r="F7" s="2"/>
      <c r="G7" s="2"/>
    </row>
    <row r="8" spans="1:7" x14ac:dyDescent="0.15">
      <c r="A8">
        <v>2</v>
      </c>
      <c r="B8">
        <f>xp!$G4*B$2+B$1</f>
        <v>56.2</v>
      </c>
      <c r="C8">
        <f>xp!$H4*C$2+C$1</f>
        <v>56.2</v>
      </c>
      <c r="D8" s="2">
        <f>B8/xp!E5</f>
        <v>0.17030303030303032</v>
      </c>
      <c r="E8" s="2">
        <f>C8/xp!F5</f>
        <v>0.17030303030303032</v>
      </c>
      <c r="F8" s="2"/>
      <c r="G8" s="2"/>
    </row>
    <row r="9" spans="1:7" x14ac:dyDescent="0.15">
      <c r="A9">
        <v>3</v>
      </c>
      <c r="B9">
        <f>xp!$G5*B$2+B$1</f>
        <v>85.9</v>
      </c>
      <c r="C9">
        <f>xp!$H5*C$2+C$1</f>
        <v>85.9</v>
      </c>
      <c r="D9" s="2">
        <f>B9/xp!E6</f>
        <v>0.19088888888888891</v>
      </c>
      <c r="E9" s="2">
        <f>C9/xp!F6</f>
        <v>0.17895833333333336</v>
      </c>
      <c r="F9" s="2"/>
      <c r="G9" s="2"/>
    </row>
    <row r="10" spans="1:7" x14ac:dyDescent="0.15">
      <c r="A10">
        <v>4</v>
      </c>
      <c r="B10">
        <f>xp!$G6*B$2+B$1</f>
        <v>126.39999999999999</v>
      </c>
      <c r="C10">
        <f>xp!$H6*C$2+C$1</f>
        <v>129.1</v>
      </c>
      <c r="D10" s="2">
        <f>B10/xp!E7</f>
        <v>0.2257142857142857</v>
      </c>
      <c r="E10" s="2">
        <f>C10/xp!F7</f>
        <v>0.20492063492063492</v>
      </c>
      <c r="F10" s="2"/>
      <c r="G10" s="2"/>
    </row>
    <row r="11" spans="1:7" x14ac:dyDescent="0.15">
      <c r="A11">
        <v>5</v>
      </c>
      <c r="B11">
        <f>xp!$G7*B$2+B$1</f>
        <v>176.79999999999998</v>
      </c>
      <c r="C11">
        <f>xp!$H7*C$2+C$1</f>
        <v>185.79999999999998</v>
      </c>
      <c r="D11" s="2">
        <f>B11/xp!E8</f>
        <v>0.29966101694915254</v>
      </c>
      <c r="E11" s="2">
        <f>C11/xp!F8</f>
        <v>0.23820512820512818</v>
      </c>
      <c r="F11" s="2"/>
      <c r="G11" s="2"/>
    </row>
    <row r="12" spans="1:7" x14ac:dyDescent="0.15">
      <c r="A12">
        <v>6</v>
      </c>
      <c r="B12">
        <f>xp!$G8*B$2+B$1</f>
        <v>229.9</v>
      </c>
      <c r="C12">
        <f>xp!$H8*C$2+C$1</f>
        <v>256</v>
      </c>
      <c r="D12" s="2">
        <f>B12/xp!E9</f>
        <v>0.31067567567567567</v>
      </c>
      <c r="E12" s="2">
        <f>C12/xp!F9</f>
        <v>0.30476190476190479</v>
      </c>
      <c r="F12" s="2">
        <f>B$56/xp!$E9</f>
        <v>13.792364864864863</v>
      </c>
      <c r="G12" s="2">
        <f>C$56/xp!$F9</f>
        <v>12.164880952380953</v>
      </c>
    </row>
    <row r="13" spans="1:7" x14ac:dyDescent="0.15">
      <c r="A13">
        <v>7</v>
      </c>
      <c r="B13">
        <f>xp!$G9*B$2+B$1</f>
        <v>296.5</v>
      </c>
      <c r="C13">
        <f>xp!$H9*C$2+C$1</f>
        <v>331.59999999999997</v>
      </c>
      <c r="D13" s="2">
        <f>B13/xp!E10</f>
        <v>0.37531645569620253</v>
      </c>
      <c r="E13" s="2">
        <f>C13/xp!F10</f>
        <v>0.36844444444444441</v>
      </c>
      <c r="F13" s="2">
        <f>B$56/xp!$E10</f>
        <v>12.919430379746833</v>
      </c>
      <c r="G13" s="2">
        <f>C$56/xp!$F10</f>
        <v>11.353888888888889</v>
      </c>
    </row>
    <row r="14" spans="1:7" x14ac:dyDescent="0.15">
      <c r="A14">
        <v>8</v>
      </c>
      <c r="B14">
        <f>xp!$G10*B$2+B$1</f>
        <v>367.59999999999997</v>
      </c>
      <c r="C14">
        <f>xp!$H10*C$2+C$1</f>
        <v>412.59999999999997</v>
      </c>
      <c r="D14" s="2">
        <f>B14/xp!E11</f>
        <v>0.43761904761904757</v>
      </c>
      <c r="E14" s="2">
        <f>C14/xp!F11</f>
        <v>0.42979166666666663</v>
      </c>
      <c r="F14" s="2">
        <f>B$56/xp!$E11</f>
        <v>12.150416666666665</v>
      </c>
      <c r="G14" s="2">
        <f>C$56/xp!$F11</f>
        <v>10.644270833333334</v>
      </c>
    </row>
    <row r="15" spans="1:7" x14ac:dyDescent="0.15">
      <c r="A15">
        <v>9</v>
      </c>
      <c r="B15">
        <f>xp!$G11*B$2+B$1</f>
        <v>443.2</v>
      </c>
      <c r="C15">
        <f>xp!$H11*C$2+C$1</f>
        <v>499</v>
      </c>
      <c r="D15" s="2">
        <f>B15/xp!E12</f>
        <v>0.4979775280898876</v>
      </c>
      <c r="E15" s="2">
        <f>C15/xp!F12</f>
        <v>0.48921568627450979</v>
      </c>
      <c r="F15" s="2">
        <f>B$56/xp!$E12</f>
        <v>11.467808988764043</v>
      </c>
      <c r="G15" s="2">
        <f>C$56/xp!$F12</f>
        <v>10.01813725490196</v>
      </c>
    </row>
    <row r="16" spans="1:7" x14ac:dyDescent="0.15">
      <c r="A16">
        <v>10</v>
      </c>
      <c r="B16">
        <f>xp!$G12*B$2+B$1</f>
        <v>523.29999999999995</v>
      </c>
      <c r="C16">
        <f>xp!$H12*C$2+C$1</f>
        <v>590.79999999999995</v>
      </c>
      <c r="D16" s="2">
        <f>B16/xp!E13</f>
        <v>0.55670212765957439</v>
      </c>
      <c r="E16" s="2">
        <f>C16/xp!F13</f>
        <v>0.54703703703703699</v>
      </c>
      <c r="F16" s="2">
        <f>B$56/xp!$E13</f>
        <v>10.857819148936169</v>
      </c>
      <c r="G16" s="2">
        <f>C$56/xp!$F13</f>
        <v>9.4615740740740737</v>
      </c>
    </row>
    <row r="17" spans="1:7" x14ac:dyDescent="0.15">
      <c r="A17">
        <v>11</v>
      </c>
      <c r="B17">
        <f>xp!$G13*B$2+B$1</f>
        <v>607.9</v>
      </c>
      <c r="C17">
        <f>xp!$H13*C$2+C$1</f>
        <v>688</v>
      </c>
      <c r="D17" s="2">
        <f>B17/xp!E14</f>
        <v>0.56813084112149526</v>
      </c>
      <c r="E17" s="2">
        <f>C17/xp!F14</f>
        <v>0.5982608695652174</v>
      </c>
      <c r="F17" s="2">
        <f>B$56/xp!$E14</f>
        <v>9.5386448598130826</v>
      </c>
      <c r="G17" s="2">
        <f>C$56/xp!$F14</f>
        <v>8.8856521739130443</v>
      </c>
    </row>
    <row r="18" spans="1:7" x14ac:dyDescent="0.15">
      <c r="A18">
        <v>12</v>
      </c>
      <c r="B18">
        <f>xp!$G14*B$2+B$1</f>
        <v>704.19999999999993</v>
      </c>
      <c r="C18">
        <f>xp!$H14*C$2+C$1</f>
        <v>791.5</v>
      </c>
      <c r="D18" s="2">
        <f>B18/xp!E15</f>
        <v>0.58683333333333332</v>
      </c>
      <c r="E18" s="2">
        <f>C18/xp!F15</f>
        <v>0.60884615384615381</v>
      </c>
      <c r="F18" s="2">
        <f>B$56/xp!$E15</f>
        <v>8.5052916666666647</v>
      </c>
      <c r="G18" s="2">
        <f>C$56/xp!$F15</f>
        <v>7.8603846153846151</v>
      </c>
    </row>
    <row r="19" spans="1:7" x14ac:dyDescent="0.15">
      <c r="A19">
        <v>13</v>
      </c>
      <c r="B19">
        <f>xp!$G15*B$2+B$1</f>
        <v>812.19999999999993</v>
      </c>
      <c r="C19">
        <f>xp!$H15*C$2+C$1</f>
        <v>908.5</v>
      </c>
      <c r="D19" s="2">
        <f>B19/xp!E16</f>
        <v>0.56996491228070167</v>
      </c>
      <c r="E19" s="2">
        <f>C19/xp!F16</f>
        <v>0.62655172413793103</v>
      </c>
      <c r="F19" s="2">
        <f>B$56/xp!$E16</f>
        <v>7.1623508771929814</v>
      </c>
      <c r="G19" s="2">
        <f>C$56/xp!$F16</f>
        <v>7.0472413793103446</v>
      </c>
    </row>
    <row r="20" spans="1:7" x14ac:dyDescent="0.15">
      <c r="A20">
        <v>14</v>
      </c>
      <c r="B20">
        <f>xp!$G16*B$2+B$1</f>
        <v>940.44999999999993</v>
      </c>
      <c r="C20">
        <f>xp!$H16*C$2+C$1</f>
        <v>1039</v>
      </c>
      <c r="D20" s="2">
        <f>B20/xp!E17</f>
        <v>0.6067419354838709</v>
      </c>
      <c r="E20" s="2">
        <f>C20/xp!F17</f>
        <v>0.64937500000000004</v>
      </c>
      <c r="F20" s="2">
        <f>B$56/xp!$E17</f>
        <v>6.5847419354838701</v>
      </c>
      <c r="G20" s="2">
        <f>C$56/xp!$F17</f>
        <v>6.3865625000000001</v>
      </c>
    </row>
    <row r="21" spans="1:7" x14ac:dyDescent="0.15">
      <c r="A21">
        <v>15</v>
      </c>
      <c r="B21">
        <f>xp!$G17*B$2+B$1</f>
        <v>1079.95</v>
      </c>
      <c r="C21">
        <f>xp!$H17*C$2+C$1</f>
        <v>1183</v>
      </c>
      <c r="D21" s="2">
        <f>B21/xp!E18</f>
        <v>0.64474626865671647</v>
      </c>
      <c r="E21" s="2">
        <f>C21/xp!F18</f>
        <v>0.67600000000000005</v>
      </c>
      <c r="F21" s="2">
        <f>B$56/xp!$E18</f>
        <v>6.0933432835820884</v>
      </c>
      <c r="G21" s="2">
        <f>C$56/xp!$F18</f>
        <v>5.839142857142857</v>
      </c>
    </row>
    <row r="22" spans="1:7" x14ac:dyDescent="0.15">
      <c r="A22">
        <v>16</v>
      </c>
      <c r="B22">
        <f>xp!$G18*B$2+B$1</f>
        <v>1230.7</v>
      </c>
      <c r="C22">
        <f>xp!$H18*C$2+C$1</f>
        <v>1340.5</v>
      </c>
      <c r="D22" s="2">
        <f>B22/xp!E19</f>
        <v>0.68372222222222223</v>
      </c>
      <c r="E22" s="2">
        <f>C22/xp!F19</f>
        <v>0.70552631578947367</v>
      </c>
      <c r="F22" s="2">
        <f>B$56/xp!$E19</f>
        <v>5.6701944444444434</v>
      </c>
      <c r="G22" s="2">
        <f>C$56/xp!$F19</f>
        <v>5.3781578947368418</v>
      </c>
    </row>
    <row r="23" spans="1:7" x14ac:dyDescent="0.15">
      <c r="A23">
        <v>17</v>
      </c>
      <c r="B23">
        <f>xp!$G19*B$2+B$1</f>
        <v>1392.7</v>
      </c>
      <c r="C23">
        <f>xp!$H19*C$2+C$1</f>
        <v>1511.5</v>
      </c>
      <c r="D23" s="2">
        <f>B23/xp!E20</f>
        <v>0.7234805194805195</v>
      </c>
      <c r="E23" s="2">
        <f>C23/xp!F20</f>
        <v>0.75575000000000003</v>
      </c>
      <c r="F23" s="2">
        <f>B$56/xp!$E20</f>
        <v>5.3019999999999996</v>
      </c>
      <c r="G23" s="2">
        <f>C$56/xp!$F20</f>
        <v>5.1092500000000003</v>
      </c>
    </row>
    <row r="24" spans="1:7" x14ac:dyDescent="0.15">
      <c r="A24">
        <v>18</v>
      </c>
      <c r="B24">
        <f>xp!$G20*B$2+B$1</f>
        <v>1565.95</v>
      </c>
      <c r="C24">
        <f>xp!$H20*C$2+C$1</f>
        <v>1691.5</v>
      </c>
      <c r="D24" s="2">
        <f>B24/xp!E21</f>
        <v>0.78297499999999998</v>
      </c>
      <c r="E24" s="2">
        <f>C24/xp!F21</f>
        <v>0.80547619047619046</v>
      </c>
      <c r="F24" s="2">
        <f>B$56/xp!$E21</f>
        <v>5.1031749999999994</v>
      </c>
      <c r="G24" s="2">
        <f>C$56/xp!$F21</f>
        <v>4.8659523809523808</v>
      </c>
    </row>
    <row r="25" spans="1:7" x14ac:dyDescent="0.15">
      <c r="A25">
        <v>19</v>
      </c>
      <c r="B25">
        <f>xp!$G21*B$2+B$1</f>
        <v>1745.95</v>
      </c>
      <c r="C25">
        <f>xp!$H21*C$2+C$1</f>
        <v>1880.5</v>
      </c>
      <c r="D25" s="2">
        <f>B25/xp!E22</f>
        <v>0.83538277511961723</v>
      </c>
      <c r="E25" s="2">
        <f>C25/xp!F22</f>
        <v>0.85477272727272724</v>
      </c>
      <c r="F25" s="2">
        <f>B$56/xp!$E22</f>
        <v>4.8834210526315784</v>
      </c>
      <c r="G25" s="2">
        <f>C$56/xp!$F22</f>
        <v>4.6447727272727271</v>
      </c>
    </row>
    <row r="26" spans="1:7" x14ac:dyDescent="0.15">
      <c r="A26">
        <v>20</v>
      </c>
      <c r="B26">
        <f>xp!$G22*B$2+B$1</f>
        <v>1934.05</v>
      </c>
      <c r="C26">
        <f>xp!$H22*C$2+C$1</f>
        <v>2078.5</v>
      </c>
      <c r="D26" s="2">
        <f>B26/xp!E23</f>
        <v>0.9209761904761905</v>
      </c>
      <c r="E26" s="2">
        <f>C26/xp!F23</f>
        <v>0.86604166666666671</v>
      </c>
      <c r="F26" s="2">
        <f>B$56/xp!$E23</f>
        <v>4.8601666666666663</v>
      </c>
      <c r="G26" s="2">
        <f>C$56/xp!$F23</f>
        <v>4.2577083333333334</v>
      </c>
    </row>
    <row r="27" spans="1:7" x14ac:dyDescent="0.15">
      <c r="A27">
        <v>21</v>
      </c>
      <c r="B27">
        <f>xp!$G23*B$2+B$1</f>
        <v>2123.0499999999997</v>
      </c>
      <c r="C27">
        <f>xp!$H23*C$2+C$1</f>
        <v>2294.5</v>
      </c>
      <c r="D27" s="2">
        <f>B27/xp!E24</f>
        <v>0.9034255319148935</v>
      </c>
      <c r="E27" s="2">
        <f>C27/xp!F24</f>
        <v>0.88249999999999995</v>
      </c>
      <c r="F27" s="2">
        <f>B$56/xp!$E24</f>
        <v>4.3431276595744679</v>
      </c>
      <c r="G27" s="2">
        <f>C$56/xp!$F24</f>
        <v>3.9301923076923075</v>
      </c>
    </row>
    <row r="28" spans="1:7" x14ac:dyDescent="0.15">
      <c r="A28">
        <v>22</v>
      </c>
      <c r="B28">
        <f>xp!$G24*B$2+B$1</f>
        <v>2334.5499999999997</v>
      </c>
      <c r="C28">
        <f>xp!$H24*C$2+C$1</f>
        <v>2528.5</v>
      </c>
      <c r="D28" s="2">
        <f>B28/xp!E25</f>
        <v>0.897903846153846</v>
      </c>
      <c r="E28" s="2">
        <f>C28/xp!F25</f>
        <v>0.90303571428571427</v>
      </c>
      <c r="F28" s="2">
        <f>B$56/xp!$E25</f>
        <v>3.9255192307692304</v>
      </c>
      <c r="G28" s="2">
        <f>C$56/xp!$F25</f>
        <v>3.6494642857142856</v>
      </c>
    </row>
    <row r="29" spans="1:7" x14ac:dyDescent="0.15">
      <c r="A29">
        <v>23</v>
      </c>
      <c r="B29">
        <f>xp!$G25*B$2+B$1</f>
        <v>2568.5499999999997</v>
      </c>
      <c r="C29">
        <f>xp!$H25*C$2+C$1</f>
        <v>2780.5</v>
      </c>
      <c r="D29" s="2">
        <f>B29/xp!E26</f>
        <v>0.90124561403508763</v>
      </c>
      <c r="E29" s="2">
        <f>C29/xp!F26</f>
        <v>0.92683333333333329</v>
      </c>
      <c r="F29" s="2">
        <f>B$56/xp!$E26</f>
        <v>3.5811754385964907</v>
      </c>
      <c r="G29" s="2">
        <f>C$56/xp!$F26</f>
        <v>3.4061666666666666</v>
      </c>
    </row>
    <row r="30" spans="1:7" x14ac:dyDescent="0.15">
      <c r="A30">
        <v>24</v>
      </c>
      <c r="B30">
        <f>xp!$G26*B$2+B$1</f>
        <v>2825.0499999999997</v>
      </c>
      <c r="C30">
        <f>xp!$H26*C$2+C$1</f>
        <v>3050.5</v>
      </c>
      <c r="D30" s="2">
        <f>B30/xp!E27</f>
        <v>0.91130645161290313</v>
      </c>
      <c r="E30" s="2">
        <f>C30/xp!F27</f>
        <v>0.87157142857142855</v>
      </c>
      <c r="F30" s="2">
        <f>B$56/xp!$E27</f>
        <v>3.2923709677419351</v>
      </c>
      <c r="G30" s="2">
        <f>C$56/xp!$F27</f>
        <v>2.9195714285714285</v>
      </c>
    </row>
    <row r="31" spans="1:7" x14ac:dyDescent="0.15">
      <c r="A31">
        <v>25</v>
      </c>
      <c r="B31">
        <f>xp!$G27*B$2+B$1</f>
        <v>3104.0499999999997</v>
      </c>
      <c r="C31">
        <f>xp!$H27*C$2+C$1</f>
        <v>3365.5</v>
      </c>
      <c r="D31" s="2">
        <f>B31/xp!E28</f>
        <v>0.88687142857142853</v>
      </c>
      <c r="E31" s="2">
        <f>C31/xp!F28</f>
        <v>0.84137499999999998</v>
      </c>
      <c r="F31" s="2">
        <f>B$56/xp!$E28</f>
        <v>2.9160999999999997</v>
      </c>
      <c r="G31" s="2">
        <f>C$56/xp!$F28</f>
        <v>2.5546250000000001</v>
      </c>
    </row>
    <row r="32" spans="1:7" x14ac:dyDescent="0.15">
      <c r="A32">
        <v>26</v>
      </c>
      <c r="B32">
        <f>xp!$G28*B$2+B$1</f>
        <v>3419.0499999999997</v>
      </c>
      <c r="C32">
        <f>xp!$H28*C$2+C$1</f>
        <v>3725.5</v>
      </c>
      <c r="D32" s="2">
        <f>B32/xp!E29</f>
        <v>0.75978888888888885</v>
      </c>
      <c r="E32" s="2">
        <f>C32/xp!F29</f>
        <v>0.8278888888888889</v>
      </c>
      <c r="F32" s="2">
        <f>B$56/xp!$E29</f>
        <v>2.2680777777777776</v>
      </c>
      <c r="G32" s="2">
        <f>C$56/xp!$F29</f>
        <v>2.2707777777777776</v>
      </c>
    </row>
    <row r="33" spans="1:7" x14ac:dyDescent="0.15">
      <c r="A33">
        <v>27</v>
      </c>
      <c r="B33">
        <f>xp!$G29*B$2+B$1</f>
        <v>3824.0499999999997</v>
      </c>
      <c r="C33">
        <f>xp!$H29*C$2+C$1</f>
        <v>4130.5</v>
      </c>
      <c r="D33" s="2">
        <f>B33/xp!E30</f>
        <v>0.69528181818181811</v>
      </c>
      <c r="E33" s="2">
        <f>C33/xp!F30</f>
        <v>0.82609999999999995</v>
      </c>
      <c r="F33" s="2">
        <f>B$56/xp!$E30</f>
        <v>1.8556999999999997</v>
      </c>
      <c r="G33" s="2">
        <f>C$56/xp!$F30</f>
        <v>2.0436999999999999</v>
      </c>
    </row>
    <row r="34" spans="1:7" x14ac:dyDescent="0.15">
      <c r="A34">
        <v>28</v>
      </c>
      <c r="B34">
        <f>xp!$G30*B$2+B$1</f>
        <v>4319.05</v>
      </c>
      <c r="C34">
        <f>xp!$H30*C$2+C$1</f>
        <v>4580.5</v>
      </c>
      <c r="D34" s="2">
        <f>B34/xp!E31</f>
        <v>0.66446923076923081</v>
      </c>
      <c r="E34" s="2">
        <f>C34/xp!F31</f>
        <v>0.83281818181818179</v>
      </c>
      <c r="F34" s="2">
        <f>B$56/xp!$E31</f>
        <v>1.5702076923076922</v>
      </c>
      <c r="G34" s="2">
        <f>C$56/xp!$F31</f>
        <v>1.857909090909091</v>
      </c>
    </row>
    <row r="35" spans="1:7" x14ac:dyDescent="0.15">
      <c r="A35">
        <v>29</v>
      </c>
      <c r="B35">
        <f>xp!$G31*B$2+B$1</f>
        <v>4904.05</v>
      </c>
      <c r="C35">
        <f>xp!$H31*C$2+C$1</f>
        <v>5075.5</v>
      </c>
      <c r="D35" s="2">
        <f>B35/xp!E32</f>
        <v>0.65387333333333331</v>
      </c>
      <c r="E35" s="2">
        <f>C35/xp!F32</f>
        <v>0.84591666666666665</v>
      </c>
      <c r="F35" s="2">
        <f>B$56/xp!$E32</f>
        <v>1.3608466666666665</v>
      </c>
      <c r="G35" s="2">
        <f>C$56/xp!$F32</f>
        <v>1.7030833333333333</v>
      </c>
    </row>
    <row r="36" spans="1:7" x14ac:dyDescent="0.15">
      <c r="A36">
        <v>30</v>
      </c>
      <c r="B36">
        <f>xp!$G32*B$2+B$1</f>
        <v>5579.05</v>
      </c>
      <c r="C36">
        <f>xp!$H32*C$2+C$1</f>
        <v>5615.5</v>
      </c>
      <c r="D36" s="2">
        <f>B36/xp!E33</f>
        <v>0.89984677419354842</v>
      </c>
      <c r="E36" s="2">
        <f>C36/xp!F33</f>
        <v>0.90572580645161294</v>
      </c>
      <c r="F36" s="2">
        <f>B$56/xp!$E33</f>
        <v>1.6461854838709675</v>
      </c>
      <c r="G36" s="2">
        <f>C$56/xp!$F33</f>
        <v>1.6481451612903226</v>
      </c>
    </row>
    <row r="37" spans="1:7" x14ac:dyDescent="0.15">
      <c r="A37">
        <v>31</v>
      </c>
      <c r="B37" s="3">
        <f>xp!$G33*B$4+B$3</f>
        <v>5532.35</v>
      </c>
      <c r="C37" s="3">
        <f>xp!$H33*C$4+C$3</f>
        <v>5544.5</v>
      </c>
      <c r="D37" s="2">
        <f>B37/xp!E34</f>
        <v>0.86442968750000004</v>
      </c>
      <c r="E37" s="2">
        <f>C37/xp!F34</f>
        <v>0.866328125</v>
      </c>
      <c r="F37" s="2">
        <f>B$56/xp!$E34</f>
        <v>1.5947421874999999</v>
      </c>
      <c r="G37" s="2">
        <f>C$56/xp!$F34</f>
        <v>1.596640625</v>
      </c>
    </row>
    <row r="38" spans="1:7" x14ac:dyDescent="0.15">
      <c r="A38">
        <v>32</v>
      </c>
      <c r="B38">
        <f>xp!$G34*B$4+B$3</f>
        <v>5724.35</v>
      </c>
      <c r="C38">
        <f>xp!$H34*C$4+C$3</f>
        <v>5736.5</v>
      </c>
      <c r="D38" s="2">
        <f>B38/xp!E35</f>
        <v>0.86732575757575758</v>
      </c>
      <c r="E38" s="2">
        <f>C38/xp!F35</f>
        <v>0.86916666666666664</v>
      </c>
      <c r="F38" s="2">
        <f>B$56/xp!$E35</f>
        <v>1.5464166666666666</v>
      </c>
      <c r="G38" s="2">
        <f>C$56/xp!$F35</f>
        <v>1.5482575757575758</v>
      </c>
    </row>
    <row r="39" spans="1:7" x14ac:dyDescent="0.15">
      <c r="A39">
        <v>33</v>
      </c>
      <c r="B39">
        <f>xp!$G35*B$4+B$3</f>
        <v>5922.35</v>
      </c>
      <c r="C39">
        <f>xp!$H35*C$4+C$3</f>
        <v>5934.5</v>
      </c>
      <c r="D39" s="2">
        <f>B39/xp!E36</f>
        <v>0.87093382352941184</v>
      </c>
      <c r="E39" s="2">
        <f>C39/xp!F36</f>
        <v>0.87272058823529408</v>
      </c>
      <c r="F39" s="2">
        <f>B$56/xp!$E36</f>
        <v>1.5009338235294116</v>
      </c>
      <c r="G39" s="2">
        <f>C$56/xp!$F36</f>
        <v>1.5027205882352941</v>
      </c>
    </row>
    <row r="40" spans="1:7" x14ac:dyDescent="0.15">
      <c r="A40">
        <v>34</v>
      </c>
      <c r="B40">
        <f>xp!$G36*B$4+B$3</f>
        <v>6126.35</v>
      </c>
      <c r="C40">
        <f>xp!$H36*C$4+C$3</f>
        <v>6138.5</v>
      </c>
      <c r="D40" s="2">
        <f>B40/xp!E37</f>
        <v>0.87519285714285722</v>
      </c>
      <c r="E40" s="2">
        <f>C40/xp!F37</f>
        <v>0.87692857142857139</v>
      </c>
      <c r="F40" s="2">
        <f>B$56/xp!$E37</f>
        <v>1.4580499999999998</v>
      </c>
      <c r="G40" s="2">
        <f>C$56/xp!$F37</f>
        <v>1.4597857142857142</v>
      </c>
    </row>
    <row r="41" spans="1:7" x14ac:dyDescent="0.15">
      <c r="A41">
        <v>35</v>
      </c>
      <c r="B41">
        <f>xp!$G37*B$4+B$3</f>
        <v>6336.35</v>
      </c>
      <c r="C41">
        <f>xp!$H37*C$4+C$3</f>
        <v>6348.5</v>
      </c>
      <c r="D41" s="2">
        <f>B41/xp!E38</f>
        <v>0.88004861111111121</v>
      </c>
      <c r="E41" s="2">
        <f>C41/xp!F38</f>
        <v>0.88173611111111116</v>
      </c>
      <c r="F41" s="2">
        <f>B$56/xp!$E38</f>
        <v>1.4175486111111109</v>
      </c>
      <c r="G41" s="2">
        <f>C$56/xp!$F38</f>
        <v>1.4192361111111111</v>
      </c>
    </row>
    <row r="42" spans="1:7" x14ac:dyDescent="0.15">
      <c r="A42">
        <v>36</v>
      </c>
      <c r="B42">
        <f>xp!$G38*B$4+B$3</f>
        <v>6552.35</v>
      </c>
      <c r="C42">
        <f>xp!$H38*C$4+C$3</f>
        <v>6564.5</v>
      </c>
      <c r="D42" s="2">
        <f>B42/xp!E39</f>
        <v>0.88545270270270271</v>
      </c>
      <c r="E42" s="2">
        <f>C42/xp!F39</f>
        <v>0.88709459459459461</v>
      </c>
      <c r="F42" s="2">
        <f>B$56/xp!$E39</f>
        <v>1.3792364864864863</v>
      </c>
      <c r="G42" s="2">
        <f>C$56/xp!$F39</f>
        <v>1.3808783783783785</v>
      </c>
    </row>
    <row r="43" spans="1:7" x14ac:dyDescent="0.15">
      <c r="A43">
        <v>37</v>
      </c>
      <c r="B43">
        <f>xp!$G39*B$4+B$3</f>
        <v>6774.35</v>
      </c>
      <c r="C43">
        <f>xp!$H39*C$4+C$3</f>
        <v>6786.5</v>
      </c>
      <c r="D43" s="2">
        <f>B43/xp!E40</f>
        <v>0.89136184210526326</v>
      </c>
      <c r="E43" s="2">
        <f>C43/xp!F40</f>
        <v>0.89296052631578948</v>
      </c>
      <c r="F43" s="2">
        <f>B$56/xp!$E40</f>
        <v>1.342940789473684</v>
      </c>
      <c r="G43" s="2">
        <f>C$56/xp!$F40</f>
        <v>1.3445394736842105</v>
      </c>
    </row>
    <row r="44" spans="1:7" x14ac:dyDescent="0.15">
      <c r="A44">
        <v>38</v>
      </c>
      <c r="B44">
        <f>xp!$G40*B$4+B$3</f>
        <v>7002.35</v>
      </c>
      <c r="C44">
        <f>xp!$H40*C$4+C$3</f>
        <v>7014.5</v>
      </c>
      <c r="D44" s="2">
        <f>B44/xp!E41</f>
        <v>0.89773717948717957</v>
      </c>
      <c r="E44" s="2">
        <f>C44/xp!F41</f>
        <v>0.89929487179487178</v>
      </c>
      <c r="F44" s="2">
        <f>B$56/xp!$E41</f>
        <v>1.3085064102564101</v>
      </c>
      <c r="G44" s="2">
        <f>C$56/xp!$F41</f>
        <v>1.3100641025641027</v>
      </c>
    </row>
    <row r="45" spans="1:7" x14ac:dyDescent="0.15">
      <c r="A45">
        <v>39</v>
      </c>
      <c r="B45">
        <f>xp!$G41*B$4+B$3</f>
        <v>7236.35</v>
      </c>
      <c r="C45">
        <f>xp!$H41*C$4+C$3</f>
        <v>7248.5</v>
      </c>
      <c r="D45" s="2">
        <f>B45/xp!E42</f>
        <v>0.90454375000000009</v>
      </c>
      <c r="E45" s="2">
        <f>C45/xp!F42</f>
        <v>0.90606249999999999</v>
      </c>
      <c r="F45" s="2">
        <f>B$56/xp!$E42</f>
        <v>1.2757937499999998</v>
      </c>
      <c r="G45" s="2">
        <f>C$56/xp!$F42</f>
        <v>1.2773125000000001</v>
      </c>
    </row>
    <row r="46" spans="1:7" x14ac:dyDescent="0.15">
      <c r="A46">
        <v>40</v>
      </c>
      <c r="B46">
        <f>xp!$G42*B$4+B$3</f>
        <v>7476.35</v>
      </c>
      <c r="C46">
        <f>xp!$H42*C$4+C$3</f>
        <v>7488.5</v>
      </c>
      <c r="D46" s="2">
        <f>B46/xp!E43</f>
        <v>0.91175000000000006</v>
      </c>
      <c r="E46" s="2">
        <f>C46/xp!F43</f>
        <v>0.91323170731707315</v>
      </c>
      <c r="F46" s="2">
        <f>B$56/xp!$E43</f>
        <v>1.2446768292682926</v>
      </c>
      <c r="G46" s="2">
        <f>C$56/xp!$F43</f>
        <v>1.2461585365853658</v>
      </c>
    </row>
    <row r="47" spans="1:7" x14ac:dyDescent="0.15">
      <c r="A47">
        <v>41</v>
      </c>
      <c r="B47">
        <f>xp!$G43*B$4+B$3</f>
        <v>7722.3499999999995</v>
      </c>
      <c r="C47">
        <f>xp!$H43*C$4+C$3</f>
        <v>7734.5</v>
      </c>
      <c r="D47" s="2">
        <f>B47/xp!E44</f>
        <v>0.91932738095238087</v>
      </c>
      <c r="E47" s="2">
        <f>C47/xp!F44</f>
        <v>0.92077380952380949</v>
      </c>
      <c r="F47" s="2">
        <f>B$56/xp!$E44</f>
        <v>1.2150416666666666</v>
      </c>
      <c r="G47" s="2">
        <f>C$56/xp!$F44</f>
        <v>1.2164880952380952</v>
      </c>
    </row>
    <row r="48" spans="1:7" x14ac:dyDescent="0.15">
      <c r="A48">
        <v>42</v>
      </c>
      <c r="B48">
        <f>xp!$G44*B$4+B$3</f>
        <v>7974.3499999999995</v>
      </c>
      <c r="C48">
        <f>xp!$H44*C$4+C$3</f>
        <v>7986.5</v>
      </c>
      <c r="D48" s="2">
        <f>B48/xp!E45</f>
        <v>0.92724999999999991</v>
      </c>
      <c r="E48" s="2">
        <f>C48/xp!F45</f>
        <v>0.92866279069767443</v>
      </c>
      <c r="F48" s="2">
        <f>B$56/xp!$E45</f>
        <v>1.1867848837209301</v>
      </c>
      <c r="G48" s="2">
        <f>C$56/xp!$F45</f>
        <v>1.1881976744186047</v>
      </c>
    </row>
    <row r="49" spans="1:7" x14ac:dyDescent="0.15">
      <c r="A49">
        <v>43</v>
      </c>
      <c r="B49">
        <f>xp!$G45*B$4+B$3</f>
        <v>8232.3499999999985</v>
      </c>
      <c r="C49">
        <f>xp!$H45*C$4+C$3</f>
        <v>8244.5</v>
      </c>
      <c r="D49" s="2">
        <f>B49/xp!E46</f>
        <v>0.93549431818181805</v>
      </c>
      <c r="E49" s="2">
        <f>C49/xp!F46</f>
        <v>0.93687500000000001</v>
      </c>
      <c r="F49" s="2">
        <f>B$56/xp!$E46</f>
        <v>1.1598124999999999</v>
      </c>
      <c r="G49" s="2">
        <f>C$56/xp!$F46</f>
        <v>1.1611931818181818</v>
      </c>
    </row>
    <row r="50" spans="1:7" x14ac:dyDescent="0.15">
      <c r="A50">
        <v>44</v>
      </c>
      <c r="B50">
        <f>xp!$G46*B$4+B$3</f>
        <v>8496.3499999999985</v>
      </c>
      <c r="C50">
        <f>xp!$H46*C$4+C$3</f>
        <v>8508.5</v>
      </c>
      <c r="D50" s="2">
        <f>B50/xp!E47</f>
        <v>0.94403888888888876</v>
      </c>
      <c r="E50" s="2">
        <f>C50/xp!F47</f>
        <v>0.94538888888888883</v>
      </c>
      <c r="F50" s="2">
        <f>B$56/xp!$E47</f>
        <v>1.1340388888888888</v>
      </c>
      <c r="G50" s="2">
        <f>C$56/xp!$F47</f>
        <v>1.1353888888888888</v>
      </c>
    </row>
    <row r="51" spans="1:7" x14ac:dyDescent="0.15">
      <c r="A51">
        <v>45</v>
      </c>
      <c r="B51">
        <f>xp!$G47*B$4+B$3</f>
        <v>8766.3499999999985</v>
      </c>
      <c r="C51">
        <f>xp!$H47*C$4+C$3</f>
        <v>8778.5</v>
      </c>
      <c r="D51" s="2">
        <f>B51/xp!E48</f>
        <v>0.95286413043478246</v>
      </c>
      <c r="E51" s="2">
        <f>C51/xp!F48</f>
        <v>0.95418478260869566</v>
      </c>
      <c r="F51" s="2">
        <f>B$56/xp!$E48</f>
        <v>1.1093858695652172</v>
      </c>
      <c r="G51" s="2">
        <f>C$56/xp!$F48</f>
        <v>1.1107065217391305</v>
      </c>
    </row>
    <row r="52" spans="1:7" x14ac:dyDescent="0.15">
      <c r="A52">
        <v>46</v>
      </c>
      <c r="B52">
        <f>xp!$G48*B$4+B$3</f>
        <v>9042.3499999999985</v>
      </c>
      <c r="C52">
        <f>xp!$H48*C$4+C$3</f>
        <v>9054.5</v>
      </c>
      <c r="D52" s="2">
        <f>B52/xp!E49</f>
        <v>0.96195212765957427</v>
      </c>
      <c r="E52" s="2">
        <f>C52/xp!F49</f>
        <v>0.96324468085106385</v>
      </c>
      <c r="F52" s="2">
        <f>B$56/xp!$E49</f>
        <v>1.085781914893617</v>
      </c>
      <c r="G52" s="2">
        <f>C$56/xp!$F49</f>
        <v>1.0870744680851063</v>
      </c>
    </row>
    <row r="53" spans="1:7" x14ac:dyDescent="0.15">
      <c r="A53">
        <v>47</v>
      </c>
      <c r="B53">
        <f>xp!$G49*B$4+B$3</f>
        <v>9324.3499999999985</v>
      </c>
      <c r="C53">
        <f>xp!$H49*C$4+C$3</f>
        <v>9336.5</v>
      </c>
      <c r="D53" s="2">
        <f>B53/xp!E50</f>
        <v>0.97128645833333316</v>
      </c>
      <c r="E53" s="2">
        <f>C53/xp!F50</f>
        <v>0.97255208333333332</v>
      </c>
      <c r="F53" s="2">
        <f>B$56/xp!$E50</f>
        <v>1.0631614583333331</v>
      </c>
      <c r="G53" s="2">
        <f>C$56/xp!$F50</f>
        <v>1.0644270833333334</v>
      </c>
    </row>
    <row r="54" spans="1:7" x14ac:dyDescent="0.15">
      <c r="A54">
        <v>48</v>
      </c>
      <c r="B54">
        <f>xp!$G50*B$4+B$3</f>
        <v>9612.3499999999985</v>
      </c>
      <c r="C54">
        <f>xp!$H50*C$4+C$3</f>
        <v>9624.5</v>
      </c>
      <c r="D54" s="2">
        <f>B54/xp!E51</f>
        <v>0.98085204081632638</v>
      </c>
      <c r="E54" s="2">
        <f>C54/xp!F51</f>
        <v>0.98209183673469391</v>
      </c>
      <c r="F54" s="2">
        <f>B$56/xp!$E51</f>
        <v>1.0414642857142855</v>
      </c>
      <c r="G54" s="2">
        <f>C$56/xp!$F51</f>
        <v>1.0427040816326532</v>
      </c>
    </row>
    <row r="55" spans="1:7" x14ac:dyDescent="0.15">
      <c r="A55">
        <v>49</v>
      </c>
      <c r="B55">
        <f>xp!$G51*B$4+B$3</f>
        <v>9906.3499999999985</v>
      </c>
      <c r="C55">
        <f>xp!$H51*C$4+C$3</f>
        <v>9918.5</v>
      </c>
      <c r="D55" s="2">
        <f>B55/xp!E52</f>
        <v>0.99063499999999982</v>
      </c>
      <c r="E55" s="2">
        <f>C55/xp!F52</f>
        <v>0.99185000000000001</v>
      </c>
      <c r="F55" s="2">
        <f>B$56/xp!$E52</f>
        <v>1.020635</v>
      </c>
      <c r="G55" s="2">
        <f>C$56/xp!$F52</f>
        <v>1.0218499999999999</v>
      </c>
    </row>
    <row r="56" spans="1:7" x14ac:dyDescent="0.15">
      <c r="A56">
        <v>50</v>
      </c>
      <c r="B56">
        <f>xp!$G52*B$4+B$3</f>
        <v>10206.349999999999</v>
      </c>
      <c r="C56">
        <f>xp!$H52*C$4+C$3</f>
        <v>10218.5</v>
      </c>
      <c r="D56" s="2">
        <f>B56/xp!E53</f>
        <v>1.0006225490196077</v>
      </c>
      <c r="E56" s="2">
        <f>C56/xp!F53</f>
        <v>1.001813725490196</v>
      </c>
      <c r="F56" s="2">
        <f>B$56/xp!$E53</f>
        <v>1.0006225490196077</v>
      </c>
      <c r="G56" s="2">
        <f>C$56/xp!$F53</f>
        <v>1.001813725490196</v>
      </c>
    </row>
    <row r="57" spans="1:7" x14ac:dyDescent="0.15">
      <c r="A57">
        <v>51</v>
      </c>
      <c r="B57">
        <f>xp!$G53*B$4+B$3</f>
        <v>10512.349999999999</v>
      </c>
      <c r="C57">
        <f>xp!$H53*C$4+C$3</f>
        <v>10524.5</v>
      </c>
      <c r="D57" s="2">
        <f>B57/xp!E54</f>
        <v>1.0108028846153845</v>
      </c>
      <c r="E57" s="2">
        <f>C57/xp!F54</f>
        <v>1.0119711538461538</v>
      </c>
      <c r="F57" s="2">
        <f>B$56/xp!$E54</f>
        <v>0.98137980769230759</v>
      </c>
      <c r="G57" s="2">
        <f>C$56/xp!$F54</f>
        <v>0.98254807692307689</v>
      </c>
    </row>
    <row r="58" spans="1:7" x14ac:dyDescent="0.15">
      <c r="A58">
        <v>52</v>
      </c>
      <c r="B58">
        <f>xp!$G54*B$4+B$3</f>
        <v>10824.349999999999</v>
      </c>
      <c r="C58">
        <f>xp!$H54*C$4+C$3</f>
        <v>10836.5</v>
      </c>
      <c r="D58" s="2">
        <f>B58/xp!E55</f>
        <v>1.0211650943396224</v>
      </c>
      <c r="E58" s="2">
        <f>C58/xp!F55</f>
        <v>1.022311320754717</v>
      </c>
      <c r="F58" s="2">
        <f>B$56/xp!$E55</f>
        <v>0.9628632075471697</v>
      </c>
      <c r="G58" s="2">
        <f>C$56/xp!$F55</f>
        <v>0.96400943396226413</v>
      </c>
    </row>
    <row r="59" spans="1:7" x14ac:dyDescent="0.15">
      <c r="A59">
        <v>53</v>
      </c>
      <c r="B59">
        <f>xp!$G55*B$4+B$3</f>
        <v>11142.349999999999</v>
      </c>
      <c r="C59">
        <f>xp!$H55*C$4+C$3</f>
        <v>11154.5</v>
      </c>
      <c r="D59" s="2">
        <f>B59/xp!E56</f>
        <v>1.0316990740740739</v>
      </c>
      <c r="E59" s="2">
        <f>C59/xp!F56</f>
        <v>1.0328240740740742</v>
      </c>
      <c r="F59" s="2">
        <f>B$56/xp!$E56</f>
        <v>0.94503240740740724</v>
      </c>
      <c r="G59" s="2">
        <f>C$56/xp!$F56</f>
        <v>0.94615740740740739</v>
      </c>
    </row>
    <row r="60" spans="1:7" x14ac:dyDescent="0.15">
      <c r="A60">
        <v>54</v>
      </c>
      <c r="B60">
        <f>xp!$G56*B$4+B$3</f>
        <v>11466.349999999999</v>
      </c>
      <c r="C60">
        <f>xp!$H56*C$4+C$3</f>
        <v>11478.5</v>
      </c>
      <c r="D60" s="2">
        <f>B60/xp!E57</f>
        <v>1.0423954545454543</v>
      </c>
      <c r="E60" s="2">
        <f>C60/xp!F57</f>
        <v>1.0435000000000001</v>
      </c>
      <c r="F60" s="2">
        <f>B$56/xp!$E57</f>
        <v>0.92784999999999984</v>
      </c>
      <c r="G60" s="2">
        <f>C$56/xp!$F57</f>
        <v>0.92895454545454548</v>
      </c>
    </row>
    <row r="61" spans="1:7" x14ac:dyDescent="0.15">
      <c r="A61">
        <v>55</v>
      </c>
      <c r="B61">
        <f>xp!$G57*B$4+B$3</f>
        <v>11796.35</v>
      </c>
      <c r="C61">
        <f>xp!$H57*C$4+C$3</f>
        <v>11808.5</v>
      </c>
      <c r="D61" s="2">
        <f>B61/xp!E58</f>
        <v>1.0532455357142858</v>
      </c>
      <c r="E61" s="2">
        <f>C61/xp!F58</f>
        <v>1.0543303571428571</v>
      </c>
      <c r="F61" s="2">
        <f>B$56/xp!$E58</f>
        <v>0.91128124999999982</v>
      </c>
      <c r="G61" s="2">
        <f>C$56/xp!$F58</f>
        <v>0.9123660714285714</v>
      </c>
    </row>
    <row r="62" spans="1:7" x14ac:dyDescent="0.15">
      <c r="A62">
        <v>56</v>
      </c>
      <c r="B62">
        <f>xp!$G58*B$4+B$3</f>
        <v>12132.35</v>
      </c>
      <c r="C62">
        <f>xp!$H58*C$4+C$3</f>
        <v>12144.5</v>
      </c>
      <c r="D62" s="2">
        <f>B62/xp!E59</f>
        <v>1.0642412280701754</v>
      </c>
      <c r="E62" s="2">
        <f>C62/xp!F59</f>
        <v>1.0653070175438597</v>
      </c>
      <c r="F62" s="2">
        <f>B$56/xp!$E59</f>
        <v>0.89529385964912267</v>
      </c>
      <c r="G62" s="2">
        <f>C$56/xp!$F59</f>
        <v>0.89635964912280697</v>
      </c>
    </row>
    <row r="63" spans="1:7" x14ac:dyDescent="0.15">
      <c r="A63">
        <v>57</v>
      </c>
      <c r="B63">
        <f>xp!$G59*B$4+B$3</f>
        <v>12474.35</v>
      </c>
      <c r="C63">
        <f>xp!$H59*C$4+C$3</f>
        <v>12486.5</v>
      </c>
      <c r="D63" s="2">
        <f>B63/xp!E60</f>
        <v>1.075375</v>
      </c>
      <c r="E63" s="2">
        <f>C63/xp!F60</f>
        <v>1.0764224137931035</v>
      </c>
      <c r="F63" s="2">
        <f>B$56/xp!$E60</f>
        <v>0.87985775862068949</v>
      </c>
      <c r="G63" s="2">
        <f>C$56/xp!$F60</f>
        <v>0.88090517241379307</v>
      </c>
    </row>
    <row r="64" spans="1:7" x14ac:dyDescent="0.15">
      <c r="A64">
        <v>58</v>
      </c>
      <c r="B64">
        <f>xp!$G60*B$4+B$3</f>
        <v>12822.35</v>
      </c>
      <c r="C64">
        <f>xp!$H60*C$4+C$3</f>
        <v>12834.5</v>
      </c>
      <c r="D64" s="2">
        <f>B64/xp!E61</f>
        <v>1.0866398305084746</v>
      </c>
      <c r="E64" s="2">
        <f>C64/xp!F61</f>
        <v>1.0876694915254237</v>
      </c>
      <c r="F64" s="2">
        <f>B$56/xp!$E61</f>
        <v>0.86494491525423711</v>
      </c>
      <c r="G64" s="2">
        <f>C$56/xp!$F61</f>
        <v>0.86597457627118646</v>
      </c>
    </row>
    <row r="65" spans="1:7" x14ac:dyDescent="0.15">
      <c r="A65">
        <v>59</v>
      </c>
      <c r="B65">
        <f>xp!$G61*B$4+B$3</f>
        <v>13176.35</v>
      </c>
      <c r="C65">
        <f>xp!$H61*C$4+C$3</f>
        <v>13188.5</v>
      </c>
      <c r="D65" s="2">
        <f>B65/xp!E62</f>
        <v>1.0980291666666666</v>
      </c>
      <c r="E65" s="2">
        <f>C65/xp!F62</f>
        <v>1.0990416666666667</v>
      </c>
      <c r="F65" s="2">
        <f>B$56/xp!$E62</f>
        <v>0.85052916666666656</v>
      </c>
      <c r="G65" s="2">
        <f>C$56/xp!$F62</f>
        <v>0.85154166666666664</v>
      </c>
    </row>
    <row r="66" spans="1:7" x14ac:dyDescent="0.15">
      <c r="A66">
        <v>60</v>
      </c>
      <c r="B66">
        <f>xp!$G62*B$4+B$3</f>
        <v>13536.35</v>
      </c>
      <c r="C66">
        <f>xp!$H62*C$4+C$3</f>
        <v>13548.5</v>
      </c>
      <c r="D66" s="2">
        <f>B66/xp!E63</f>
        <v>1.1095368852459018</v>
      </c>
      <c r="E66" s="2">
        <f>C66/xp!F63</f>
        <v>1.1105327868852459</v>
      </c>
      <c r="F66" s="2">
        <f>B$56/xp!$E63</f>
        <v>0.83658606557377035</v>
      </c>
      <c r="G66" s="2">
        <f>C$56/xp!$F63</f>
        <v>0.83758196721311473</v>
      </c>
    </row>
    <row r="67" spans="1:7" x14ac:dyDescent="0.15">
      <c r="A67">
        <v>61</v>
      </c>
      <c r="B67">
        <f>xp!$G63*B$4+B$3</f>
        <v>13902.35</v>
      </c>
      <c r="C67">
        <f>xp!$H63*C$4+C$3</f>
        <v>13914.5</v>
      </c>
      <c r="D67" s="2">
        <f>B67/xp!E64</f>
        <v>1.1211572580645162</v>
      </c>
      <c r="E67" s="2">
        <f>C67/xp!F64</f>
        <v>1.1221370967741935</v>
      </c>
      <c r="F67" s="2">
        <f>B$56/xp!$E64</f>
        <v>0.82309274193548376</v>
      </c>
      <c r="G67" s="2">
        <f>C$56/xp!$F64</f>
        <v>0.82407258064516131</v>
      </c>
    </row>
    <row r="68" spans="1:7" x14ac:dyDescent="0.15">
      <c r="A68">
        <v>62</v>
      </c>
      <c r="B68">
        <f>xp!$G64*B$4+B$3</f>
        <v>14274.35</v>
      </c>
      <c r="C68">
        <f>xp!$H64*C$4+C$3</f>
        <v>14286.5</v>
      </c>
      <c r="D68" s="2">
        <f>B68/xp!E65</f>
        <v>1.1328849206349207</v>
      </c>
      <c r="E68" s="2">
        <f>C68/xp!F65</f>
        <v>1.1338492063492063</v>
      </c>
      <c r="F68" s="2">
        <f>B$56/xp!$E65</f>
        <v>0.81002777777777768</v>
      </c>
      <c r="G68" s="2">
        <f>C$56/xp!$F65</f>
        <v>0.81099206349206354</v>
      </c>
    </row>
    <row r="69" spans="1:7" x14ac:dyDescent="0.15">
      <c r="A69">
        <v>63</v>
      </c>
      <c r="B69">
        <f>xp!$G65*B$4+B$3</f>
        <v>14652.35</v>
      </c>
      <c r="C69">
        <f>xp!$H65*C$4+C$3</f>
        <v>14664.5</v>
      </c>
      <c r="D69" s="2">
        <f>B69/xp!E66</f>
        <v>1.1447148437500001</v>
      </c>
      <c r="E69" s="2">
        <f>C69/xp!F66</f>
        <v>1.1456640625000001</v>
      </c>
      <c r="F69" s="2">
        <f>B$56/xp!$E66</f>
        <v>0.79737109374999993</v>
      </c>
      <c r="G69" s="2">
        <f>C$56/xp!$F66</f>
        <v>0.79832031250000002</v>
      </c>
    </row>
    <row r="70" spans="1:7" x14ac:dyDescent="0.15">
      <c r="A70">
        <v>64</v>
      </c>
      <c r="B70">
        <f>xp!$G66*B$4+B$3</f>
        <v>15036.35</v>
      </c>
      <c r="C70">
        <f>xp!$H66*C$4+C$3</f>
        <v>15048.5</v>
      </c>
      <c r="D70" s="2">
        <f>B70/xp!E67</f>
        <v>1.1566423076923078</v>
      </c>
      <c r="E70" s="2">
        <f>C70/xp!F67</f>
        <v>1.1575769230769231</v>
      </c>
      <c r="F70" s="2">
        <f>B$56/xp!$E67</f>
        <v>0.7851038461538461</v>
      </c>
      <c r="G70" s="2">
        <f>C$56/xp!$F67</f>
        <v>0.78603846153846157</v>
      </c>
    </row>
    <row r="71" spans="1:7" x14ac:dyDescent="0.15">
      <c r="A71">
        <v>65</v>
      </c>
      <c r="B71">
        <f>xp!$G67*B$4+B$3</f>
        <v>15426.35</v>
      </c>
      <c r="C71">
        <f>xp!$H67*C$4+C$3</f>
        <v>15438.5</v>
      </c>
      <c r="D71" s="2">
        <f>B71/xp!E68</f>
        <v>1.1686628787878788</v>
      </c>
      <c r="E71" s="2">
        <f>C71/xp!F68</f>
        <v>1.1695833333333334</v>
      </c>
      <c r="F71" s="2">
        <f>B$56/xp!$E68</f>
        <v>0.77320833333333328</v>
      </c>
      <c r="G71" s="2">
        <f>C$56/xp!$F68</f>
        <v>0.77412878787878792</v>
      </c>
    </row>
    <row r="72" spans="1:7" x14ac:dyDescent="0.15">
      <c r="A72">
        <v>66</v>
      </c>
      <c r="B72">
        <f>xp!$G68*B$4+B$3</f>
        <v>15822.35</v>
      </c>
      <c r="C72">
        <f>xp!$H68*C$4+C$3</f>
        <v>15834.5</v>
      </c>
      <c r="D72" s="2">
        <f>B72/xp!E69</f>
        <v>1.1807723880597014</v>
      </c>
      <c r="E72" s="2">
        <f>C72/xp!F69</f>
        <v>1.181679104477612</v>
      </c>
      <c r="F72" s="2">
        <f>B$56/xp!$E69</f>
        <v>0.76166791044776105</v>
      </c>
      <c r="G72" s="2">
        <f>C$56/xp!$F69</f>
        <v>0.76257462686567168</v>
      </c>
    </row>
    <row r="73" spans="1:7" x14ac:dyDescent="0.15">
      <c r="A73">
        <v>67</v>
      </c>
      <c r="B73">
        <f>xp!$G69*B$4+B$3</f>
        <v>16224.35</v>
      </c>
      <c r="C73">
        <f>xp!$H69*C$4+C$3</f>
        <v>16236.5</v>
      </c>
      <c r="D73" s="2">
        <f>B73/xp!E70</f>
        <v>1.1929669117647059</v>
      </c>
      <c r="E73" s="2">
        <f>C73/xp!F70</f>
        <v>1.193860294117647</v>
      </c>
      <c r="F73" s="2">
        <f>B$56/xp!$E70</f>
        <v>0.75046691176470581</v>
      </c>
      <c r="G73" s="2">
        <f>C$56/xp!$F70</f>
        <v>0.75136029411764704</v>
      </c>
    </row>
    <row r="74" spans="1:7" x14ac:dyDescent="0.15">
      <c r="A74">
        <v>68</v>
      </c>
      <c r="B74">
        <f>xp!$G70*B$4+B$3</f>
        <v>16632.349999999999</v>
      </c>
      <c r="C74">
        <f>xp!$H70*C$4+C$3</f>
        <v>16644.5</v>
      </c>
      <c r="D74" s="2">
        <f>B74/xp!E71</f>
        <v>1.2052427536231882</v>
      </c>
      <c r="E74" s="2">
        <f>C74/xp!F71</f>
        <v>1.206123188405797</v>
      </c>
      <c r="F74" s="2">
        <f>B$56/xp!$E71</f>
        <v>0.73959057971014486</v>
      </c>
      <c r="G74" s="2">
        <f>C$56/xp!$F71</f>
        <v>0.74047101449275365</v>
      </c>
    </row>
    <row r="75" spans="1:7" x14ac:dyDescent="0.15">
      <c r="A75">
        <v>69</v>
      </c>
      <c r="B75">
        <f>xp!$G71*B$4+B$3</f>
        <v>17046.349999999999</v>
      </c>
      <c r="C75">
        <f>xp!$H71*C$4+C$3</f>
        <v>17058.5</v>
      </c>
      <c r="D75" s="2">
        <f>B75/xp!E72</f>
        <v>1.2175964285714285</v>
      </c>
      <c r="E75" s="2">
        <f>C75/xp!F72</f>
        <v>1.2184642857142858</v>
      </c>
      <c r="F75" s="2">
        <f>B$56/xp!$E72</f>
        <v>0.72902499999999992</v>
      </c>
      <c r="G75" s="2">
        <f>C$56/xp!$F72</f>
        <v>0.72989285714285712</v>
      </c>
    </row>
    <row r="76" spans="1:7" x14ac:dyDescent="0.15">
      <c r="A76">
        <v>70</v>
      </c>
      <c r="B76">
        <f>xp!$G72*B$4+B$3</f>
        <v>17466.349999999999</v>
      </c>
      <c r="C76">
        <f>xp!$H72*C$4+C$3</f>
        <v>17478.5</v>
      </c>
      <c r="D76" s="2">
        <f>B76/xp!E73</f>
        <v>1.2300246478873238</v>
      </c>
      <c r="E76" s="2">
        <f>C76/xp!F73</f>
        <v>1.2308802816901407</v>
      </c>
      <c r="F76" s="2">
        <f>B$56/xp!$E73</f>
        <v>0.71875704225352099</v>
      </c>
      <c r="G76" s="2">
        <f>C$56/xp!$F73</f>
        <v>0.71961267605633805</v>
      </c>
    </row>
    <row r="77" spans="1:7" x14ac:dyDescent="0.15">
      <c r="A77">
        <v>71</v>
      </c>
      <c r="B77">
        <f>xp!$G73*B$4+B$3</f>
        <v>17892.349999999999</v>
      </c>
      <c r="C77">
        <f>xp!$H73*C$4+C$3</f>
        <v>17904.5</v>
      </c>
      <c r="D77" s="2">
        <f>B77/xp!E74</f>
        <v>1.2425243055555555</v>
      </c>
      <c r="E77" s="2">
        <f>C77/xp!F74</f>
        <v>1.2433680555555555</v>
      </c>
      <c r="F77" s="2">
        <f>B$56/xp!$E74</f>
        <v>0.70877430555555543</v>
      </c>
      <c r="G77" s="2">
        <f>C$56/xp!$F74</f>
        <v>0.70961805555555557</v>
      </c>
    </row>
    <row r="78" spans="1:7" x14ac:dyDescent="0.15">
      <c r="A78">
        <v>72</v>
      </c>
      <c r="B78">
        <f>xp!$G74*B$4+B$3</f>
        <v>18324.349999999999</v>
      </c>
      <c r="C78">
        <f>xp!$H74*C$4+C$3</f>
        <v>18336.5</v>
      </c>
      <c r="D78" s="2">
        <f>B78/xp!E75</f>
        <v>1.2550924657534246</v>
      </c>
      <c r="E78" s="2">
        <f>C78/xp!F75</f>
        <v>1.2559246575342466</v>
      </c>
      <c r="F78" s="2">
        <f>B$56/xp!$E75</f>
        <v>0.69906506849315053</v>
      </c>
      <c r="G78" s="2">
        <f>C$56/xp!$F75</f>
        <v>0.69989726027397259</v>
      </c>
    </row>
    <row r="79" spans="1:7" x14ac:dyDescent="0.15">
      <c r="A79">
        <v>73</v>
      </c>
      <c r="B79">
        <f>xp!$G75*B$4+B$3</f>
        <v>18762.349999999999</v>
      </c>
      <c r="C79">
        <f>xp!$H75*C$4+C$3</f>
        <v>18774.5</v>
      </c>
      <c r="D79" s="2">
        <f>B79/xp!E76</f>
        <v>1.2677263513513513</v>
      </c>
      <c r="E79" s="2">
        <f>C79/xp!F76</f>
        <v>1.2685472972972973</v>
      </c>
      <c r="F79" s="2">
        <f>B$56/xp!$E76</f>
        <v>0.68961824324324317</v>
      </c>
      <c r="G79" s="2">
        <f>C$56/xp!$F76</f>
        <v>0.69043918918918923</v>
      </c>
    </row>
    <row r="80" spans="1:7" x14ac:dyDescent="0.15">
      <c r="A80">
        <v>74</v>
      </c>
      <c r="B80">
        <f>xp!$G76*B$4+B$3</f>
        <v>19206.349999999999</v>
      </c>
      <c r="C80">
        <f>xp!$H76*C$4+C$3</f>
        <v>19218.5</v>
      </c>
      <c r="D80" s="2">
        <f>B80/xp!E77</f>
        <v>1.2804233333333332</v>
      </c>
      <c r="E80" s="2">
        <f>C80/xp!F77</f>
        <v>1.2812333333333332</v>
      </c>
      <c r="F80" s="2">
        <f>B$56/xp!$E77</f>
        <v>0.68042333333333327</v>
      </c>
      <c r="G80" s="2">
        <f>C$56/xp!$F77</f>
        <v>0.68123333333333336</v>
      </c>
    </row>
    <row r="81" spans="1:7" x14ac:dyDescent="0.15">
      <c r="A81">
        <v>75</v>
      </c>
      <c r="B81">
        <f>xp!$G77*B$4+B$3</f>
        <v>19656.349999999999</v>
      </c>
      <c r="C81">
        <f>xp!$H77*C$4+C$3</f>
        <v>19668.5</v>
      </c>
      <c r="D81" s="2">
        <f>B81/xp!E78</f>
        <v>1.2931809210526315</v>
      </c>
      <c r="E81" s="2">
        <f>C81/xp!F78</f>
        <v>1.2939802631578947</v>
      </c>
      <c r="F81" s="2">
        <f>B$56/xp!$E78</f>
        <v>0.671470394736842</v>
      </c>
      <c r="G81" s="2">
        <f>C$56/xp!$F78</f>
        <v>0.67226973684210523</v>
      </c>
    </row>
    <row r="82" spans="1:7" x14ac:dyDescent="0.15">
      <c r="A82">
        <v>76</v>
      </c>
      <c r="B82">
        <f>xp!$G78*B$4+B$3</f>
        <v>20112.349999999999</v>
      </c>
      <c r="C82">
        <f>xp!$H78*C$4+C$3</f>
        <v>20124.5</v>
      </c>
      <c r="D82" s="2">
        <f>B82/xp!E79</f>
        <v>1.3059967532467531</v>
      </c>
      <c r="E82" s="2">
        <f>C82/xp!F79</f>
        <v>1.3067857142857142</v>
      </c>
      <c r="F82" s="2">
        <f>B$56/xp!$E79</f>
        <v>0.66274999999999995</v>
      </c>
      <c r="G82" s="2">
        <f>C$56/xp!$F79</f>
        <v>0.66353896103896104</v>
      </c>
    </row>
    <row r="83" spans="1:7" x14ac:dyDescent="0.15">
      <c r="A83">
        <v>77</v>
      </c>
      <c r="B83">
        <f>xp!$G79*B$4+B$3</f>
        <v>20574.349999999999</v>
      </c>
      <c r="C83">
        <f>xp!$H79*C$4+C$3</f>
        <v>20586.5</v>
      </c>
      <c r="D83" s="2">
        <f>B83/xp!E80</f>
        <v>1.3188685897435897</v>
      </c>
      <c r="E83" s="2">
        <f>C83/xp!F80</f>
        <v>1.3196474358974359</v>
      </c>
      <c r="F83" s="2">
        <f>B$56/xp!$E80</f>
        <v>0.65425320512820506</v>
      </c>
      <c r="G83" s="2">
        <f>C$56/xp!$F80</f>
        <v>0.65503205128205133</v>
      </c>
    </row>
    <row r="84" spans="1:7" x14ac:dyDescent="0.15">
      <c r="A84">
        <v>78</v>
      </c>
      <c r="B84">
        <f>xp!$G80*B$4+B$3</f>
        <v>21042.35</v>
      </c>
      <c r="C84">
        <f>xp!$H80*C$4+C$3</f>
        <v>21054.5</v>
      </c>
      <c r="D84" s="2">
        <f>B84/xp!E81</f>
        <v>1.3317943037974682</v>
      </c>
      <c r="E84" s="2">
        <f>C84/xp!F81</f>
        <v>1.3325632911392404</v>
      </c>
      <c r="F84" s="2">
        <f>B$56/xp!$E81</f>
        <v>0.64597151898734173</v>
      </c>
      <c r="G84" s="2">
        <f>C$56/xp!$F81</f>
        <v>0.64674050632911395</v>
      </c>
    </row>
    <row r="85" spans="1:7" x14ac:dyDescent="0.15">
      <c r="A85">
        <v>79</v>
      </c>
      <c r="B85">
        <f>xp!$G81*B$4+B$3</f>
        <v>21516.35</v>
      </c>
      <c r="C85">
        <f>xp!$H81*C$4+C$3</f>
        <v>21528.5</v>
      </c>
      <c r="D85" s="2">
        <f>B85/xp!E82</f>
        <v>1.3447718749999999</v>
      </c>
      <c r="E85" s="2">
        <f>C85/xp!F82</f>
        <v>1.3455312500000001</v>
      </c>
      <c r="F85" s="2">
        <f>B$56/xp!$E82</f>
        <v>0.63789687499999992</v>
      </c>
      <c r="G85" s="2">
        <f>C$56/xp!$F82</f>
        <v>0.63865625000000004</v>
      </c>
    </row>
    <row r="86" spans="1:7" x14ac:dyDescent="0.15">
      <c r="A86">
        <v>80</v>
      </c>
      <c r="B86">
        <f>xp!$G82*B$4+B$3</f>
        <v>21996.35</v>
      </c>
      <c r="C86">
        <f>xp!$H82*C$4+C$3</f>
        <v>22008.5</v>
      </c>
      <c r="D86" s="2">
        <f>B86/xp!E83</f>
        <v>1.3577993827160493</v>
      </c>
      <c r="E86" s="2">
        <f>C86/xp!F83</f>
        <v>1.3585493827160493</v>
      </c>
      <c r="F86" s="2">
        <f>B$56/xp!$E83</f>
        <v>0.63002160493827153</v>
      </c>
      <c r="G86" s="2">
        <f>C$56/xp!$F83</f>
        <v>0.63077160493827156</v>
      </c>
    </row>
    <row r="87" spans="1:7" x14ac:dyDescent="0.15">
      <c r="A87">
        <v>81</v>
      </c>
      <c r="B87">
        <f>xp!$G83*B$4+B$3</f>
        <v>22482.35</v>
      </c>
      <c r="C87">
        <f>xp!$H83*C$4+C$3</f>
        <v>22494.5</v>
      </c>
      <c r="D87" s="2">
        <f>B87/xp!E84</f>
        <v>1.3708749999999998</v>
      </c>
      <c r="E87" s="2">
        <f>C87/xp!F84</f>
        <v>1.3716158536585366</v>
      </c>
      <c r="F87" s="2">
        <f>B$56/xp!$E84</f>
        <v>0.6223384146341463</v>
      </c>
      <c r="G87" s="2">
        <f>C$56/xp!$F84</f>
        <v>0.6230792682926829</v>
      </c>
    </row>
    <row r="88" spans="1:7" x14ac:dyDescent="0.15">
      <c r="A88">
        <v>82</v>
      </c>
      <c r="B88">
        <f>xp!$G84*B$4+B$3</f>
        <v>22974.35</v>
      </c>
      <c r="C88">
        <f>xp!$H84*C$4+C$3</f>
        <v>22986.5</v>
      </c>
      <c r="D88" s="2">
        <f>B88/xp!E85</f>
        <v>1.383996987951807</v>
      </c>
      <c r="E88" s="2">
        <f>C88/xp!F85</f>
        <v>1.3847289156626506</v>
      </c>
      <c r="F88" s="2">
        <f>B$56/xp!$E85</f>
        <v>0.61484036144578302</v>
      </c>
      <c r="G88" s="2">
        <f>C$56/xp!$F85</f>
        <v>0.61557228915662654</v>
      </c>
    </row>
    <row r="89" spans="1:7" x14ac:dyDescent="0.15">
      <c r="A89">
        <v>83</v>
      </c>
      <c r="B89">
        <f>xp!$G85*B$4+B$3</f>
        <v>23472.35</v>
      </c>
      <c r="C89">
        <f>xp!$H85*C$4+C$3</f>
        <v>23484.5</v>
      </c>
      <c r="D89" s="2">
        <f>B89/xp!E86</f>
        <v>1.3971636904761904</v>
      </c>
      <c r="E89" s="2">
        <f>C89/xp!F86</f>
        <v>1.3978869047619047</v>
      </c>
      <c r="F89" s="2">
        <f>B$56/xp!$E86</f>
        <v>0.60752083333333329</v>
      </c>
      <c r="G89" s="2">
        <f>C$56/xp!$F86</f>
        <v>0.6082440476190476</v>
      </c>
    </row>
    <row r="90" spans="1:7" x14ac:dyDescent="0.15">
      <c r="A90">
        <v>84</v>
      </c>
      <c r="B90">
        <f>xp!$G86*B$4+B$3</f>
        <v>23976.35</v>
      </c>
      <c r="C90">
        <f>xp!$H86*C$4+C$3</f>
        <v>23988.5</v>
      </c>
      <c r="D90" s="2">
        <f>B90/xp!E87</f>
        <v>1.4103735294117645</v>
      </c>
      <c r="E90" s="2">
        <f>C90/xp!F87</f>
        <v>1.4110882352941176</v>
      </c>
      <c r="F90" s="2">
        <f>B$56/xp!$E87</f>
        <v>0.60037352941176458</v>
      </c>
      <c r="G90" s="2">
        <f>C$56/xp!$F87</f>
        <v>0.6010882352941177</v>
      </c>
    </row>
    <row r="91" spans="1:7" x14ac:dyDescent="0.15">
      <c r="A91">
        <v>85</v>
      </c>
      <c r="B91">
        <f>xp!$G87*B$4+B$3</f>
        <v>24486.35</v>
      </c>
      <c r="C91">
        <f>xp!$H87*C$4+C$3</f>
        <v>24498.5</v>
      </c>
      <c r="D91" s="2">
        <f>B91/xp!E88</f>
        <v>1.4236249999999999</v>
      </c>
      <c r="E91" s="2">
        <f>C91/xp!F88</f>
        <v>1.4243313953488372</v>
      </c>
      <c r="F91" s="2">
        <f>B$56/xp!$E88</f>
        <v>0.59339244186046503</v>
      </c>
      <c r="G91" s="2">
        <f>C$56/xp!$F88</f>
        <v>0.59409883720930234</v>
      </c>
    </row>
    <row r="92" spans="1:7" x14ac:dyDescent="0.15">
      <c r="A92">
        <v>86</v>
      </c>
      <c r="B92">
        <f>xp!$G88*B$4+B$3</f>
        <v>25002.35</v>
      </c>
      <c r="C92">
        <f>xp!$H88*C$4+C$3</f>
        <v>25014.5</v>
      </c>
      <c r="D92" s="2">
        <f>B92/xp!E89</f>
        <v>1.4369166666666666</v>
      </c>
      <c r="E92" s="2">
        <f>C92/xp!F89</f>
        <v>1.4376149425287357</v>
      </c>
      <c r="F92" s="2">
        <f>B$56/xp!$E89</f>
        <v>0.58657183908045973</v>
      </c>
      <c r="G92" s="2">
        <f>C$56/xp!$F89</f>
        <v>0.58727011494252879</v>
      </c>
    </row>
    <row r="93" spans="1:7" x14ac:dyDescent="0.15">
      <c r="A93">
        <v>87</v>
      </c>
      <c r="B93">
        <f>xp!$G89*B$4+B$3</f>
        <v>25524.35</v>
      </c>
      <c r="C93">
        <f>xp!$H89*C$4+C$3</f>
        <v>25536.5</v>
      </c>
      <c r="D93" s="2">
        <f>B93/xp!E90</f>
        <v>1.450247159090909</v>
      </c>
      <c r="E93" s="2">
        <f>C93/xp!F90</f>
        <v>1.4509375</v>
      </c>
      <c r="F93" s="2">
        <f>B$56/xp!$E90</f>
        <v>0.57990624999999996</v>
      </c>
      <c r="G93" s="2">
        <f>C$56/xp!$F90</f>
        <v>0.58059659090909088</v>
      </c>
    </row>
    <row r="94" spans="1:7" x14ac:dyDescent="0.15">
      <c r="A94">
        <v>88</v>
      </c>
      <c r="B94">
        <f>xp!$G90*B$4+B$3</f>
        <v>26052.35</v>
      </c>
      <c r="C94">
        <f>xp!$H90*C$4+C$3</f>
        <v>26064.5</v>
      </c>
      <c r="D94" s="2">
        <f>B94/xp!E91</f>
        <v>1.4636151685393257</v>
      </c>
      <c r="E94" s="2">
        <f>C94/xp!F91</f>
        <v>1.4642977528089887</v>
      </c>
      <c r="F94" s="2">
        <f>B$56/xp!$E91</f>
        <v>0.57339044943820217</v>
      </c>
      <c r="G94" s="2">
        <f>C$56/xp!$F91</f>
        <v>0.57407303370786522</v>
      </c>
    </row>
    <row r="95" spans="1:7" x14ac:dyDescent="0.15">
      <c r="A95">
        <v>89</v>
      </c>
      <c r="B95">
        <f>xp!$G91*B$4+B$3</f>
        <v>26586.35</v>
      </c>
      <c r="C95">
        <f>xp!$H91*C$4+C$3</f>
        <v>26598.5</v>
      </c>
      <c r="D95" s="2">
        <f>B95/xp!E92</f>
        <v>1.4770194444444444</v>
      </c>
      <c r="E95" s="2">
        <f>C95/xp!F92</f>
        <v>1.4776944444444444</v>
      </c>
      <c r="F95" s="2">
        <f>B$56/xp!$E92</f>
        <v>0.56701944444444441</v>
      </c>
      <c r="G95" s="2">
        <f>C$56/xp!$F92</f>
        <v>0.56769444444444439</v>
      </c>
    </row>
    <row r="96" spans="1:7" x14ac:dyDescent="0.15">
      <c r="A96">
        <v>90</v>
      </c>
      <c r="B96">
        <f>xp!$G92*B$4+B$3</f>
        <v>27126.35</v>
      </c>
      <c r="C96">
        <f>xp!$H92*C$4+C$3</f>
        <v>27138.5</v>
      </c>
      <c r="D96" s="2">
        <f>B96/xp!E93</f>
        <v>1.4904587912087912</v>
      </c>
      <c r="E96" s="2">
        <f>C96/xp!F93</f>
        <v>1.4911263736263736</v>
      </c>
      <c r="F96" s="2">
        <f>B$56/xp!$E93</f>
        <v>0.56078846153846151</v>
      </c>
      <c r="G96" s="2">
        <f>C$56/xp!$F93</f>
        <v>0.56145604395604398</v>
      </c>
    </row>
    <row r="97" spans="1:7" x14ac:dyDescent="0.15">
      <c r="A97">
        <v>91</v>
      </c>
      <c r="B97">
        <f>xp!$G93*B$4+B$3</f>
        <v>27672.35</v>
      </c>
      <c r="C97">
        <f>xp!$H93*C$4+C$3</f>
        <v>27684.5</v>
      </c>
      <c r="D97" s="2">
        <f>B97/xp!E94</f>
        <v>1.5039320652173913</v>
      </c>
      <c r="E97" s="2">
        <f>C97/xp!F94</f>
        <v>1.5045923913043477</v>
      </c>
      <c r="F97" s="2">
        <f>B$56/xp!$E94</f>
        <v>0.55469293478260862</v>
      </c>
      <c r="G97" s="2">
        <f>C$56/xp!$F94</f>
        <v>0.55535326086956527</v>
      </c>
    </row>
    <row r="98" spans="1:7" x14ac:dyDescent="0.15">
      <c r="A98">
        <v>92</v>
      </c>
      <c r="B98">
        <f>xp!$G94*B$4+B$3</f>
        <v>28224.35</v>
      </c>
      <c r="C98">
        <f>xp!$H94*C$4+C$3</f>
        <v>28236.5</v>
      </c>
      <c r="D98" s="2">
        <f>B98/xp!E95</f>
        <v>1.5174381720430106</v>
      </c>
      <c r="E98" s="2">
        <f>C98/xp!F95</f>
        <v>1.5180913978494623</v>
      </c>
      <c r="F98" s="2">
        <f>B$56/xp!$E95</f>
        <v>0.5487284946236558</v>
      </c>
      <c r="G98" s="2">
        <f>C$56/xp!$F95</f>
        <v>0.54938172043010758</v>
      </c>
    </row>
    <row r="99" spans="1:7" x14ac:dyDescent="0.15">
      <c r="A99">
        <v>93</v>
      </c>
      <c r="B99">
        <f>xp!$G95*B$4+B$3</f>
        <v>28782.35</v>
      </c>
      <c r="C99">
        <f>xp!$H95*C$4+C$3</f>
        <v>28794.5</v>
      </c>
      <c r="D99" s="2">
        <f>B99/xp!E96</f>
        <v>1.5309760638297871</v>
      </c>
      <c r="E99" s="2">
        <f>C99/xp!F96</f>
        <v>1.531622340425532</v>
      </c>
      <c r="F99" s="2">
        <f>B$56/xp!$E96</f>
        <v>0.54289095744680849</v>
      </c>
      <c r="G99" s="2">
        <f>C$56/xp!$F96</f>
        <v>0.54353723404255316</v>
      </c>
    </row>
    <row r="100" spans="1:7" x14ac:dyDescent="0.15">
      <c r="A100">
        <v>94</v>
      </c>
      <c r="B100">
        <f>xp!$G96*B$4+B$3</f>
        <v>29346.35</v>
      </c>
      <c r="C100">
        <f>xp!$H96*C$4+C$3</f>
        <v>29358.5</v>
      </c>
      <c r="D100" s="2">
        <f>B100/xp!E97</f>
        <v>1.5445447368421052</v>
      </c>
      <c r="E100" s="2">
        <f>C100/xp!F97</f>
        <v>1.5451842105263158</v>
      </c>
      <c r="F100" s="2">
        <f>B$56/xp!$E97</f>
        <v>0.53717631578947356</v>
      </c>
      <c r="G100" s="2">
        <f>C$56/xp!$F97</f>
        <v>0.53781578947368425</v>
      </c>
    </row>
    <row r="101" spans="1:7" x14ac:dyDescent="0.15">
      <c r="A101">
        <v>95</v>
      </c>
      <c r="B101">
        <f>xp!$G97*B$4+B$3</f>
        <v>29916.35</v>
      </c>
      <c r="C101">
        <f>xp!$H97*C$4+C$3</f>
        <v>29928.5</v>
      </c>
      <c r="D101" s="2">
        <f>B101/xp!E98</f>
        <v>1.5581432291666666</v>
      </c>
      <c r="E101" s="2">
        <f>C101/xp!F98</f>
        <v>1.5587760416666667</v>
      </c>
      <c r="F101" s="2">
        <f>B$56/xp!$E98</f>
        <v>0.53158072916666654</v>
      </c>
      <c r="G101" s="2">
        <f>C$56/xp!$F98</f>
        <v>0.53221354166666668</v>
      </c>
    </row>
    <row r="102" spans="1:7" x14ac:dyDescent="0.15">
      <c r="A102">
        <v>96</v>
      </c>
      <c r="B102">
        <f>xp!$G98*B$4+B$3</f>
        <v>30492.35</v>
      </c>
      <c r="C102">
        <f>xp!$H98*C$4+C$3</f>
        <v>30504.5</v>
      </c>
      <c r="D102" s="2">
        <f>B102/xp!E99</f>
        <v>1.5717706185567009</v>
      </c>
      <c r="E102" s="2">
        <f>C102/xp!F99</f>
        <v>1.5723969072164949</v>
      </c>
      <c r="F102" s="2">
        <f>B$56/xp!$E99</f>
        <v>0.52610051546391745</v>
      </c>
      <c r="G102" s="2">
        <f>C$56/xp!$F99</f>
        <v>0.52672680412371131</v>
      </c>
    </row>
    <row r="103" spans="1:7" x14ac:dyDescent="0.15">
      <c r="A103">
        <v>97</v>
      </c>
      <c r="B103">
        <f>xp!$G99*B$4+B$3</f>
        <v>31074.35</v>
      </c>
      <c r="C103">
        <f>xp!$H99*C$4+C$3</f>
        <v>31086.5</v>
      </c>
      <c r="D103" s="2">
        <f>B103/xp!E100</f>
        <v>1.5854260204081632</v>
      </c>
      <c r="E103" s="2">
        <f>C103/xp!F100</f>
        <v>1.586045918367347</v>
      </c>
      <c r="F103" s="2">
        <f>B$56/xp!$E100</f>
        <v>0.52073214285714275</v>
      </c>
      <c r="G103" s="2">
        <f>C$56/xp!$F100</f>
        <v>0.52135204081632658</v>
      </c>
    </row>
    <row r="104" spans="1:7" x14ac:dyDescent="0.15">
      <c r="A104">
        <v>98</v>
      </c>
      <c r="B104">
        <f>xp!$G100*B$4+B$3</f>
        <v>31662.35</v>
      </c>
      <c r="C104">
        <f>xp!$H100*C$4+C$3</f>
        <v>31674.5</v>
      </c>
      <c r="D104" s="2">
        <f>B104/xp!E101</f>
        <v>1.5991085858585858</v>
      </c>
      <c r="E104" s="2">
        <f>C104/xp!F101</f>
        <v>1.5997222222222223</v>
      </c>
      <c r="F104" s="2">
        <f>B$56/xp!$E101</f>
        <v>0.51547222222222211</v>
      </c>
      <c r="G104" s="2">
        <f>C$56/xp!$F101</f>
        <v>0.51608585858585854</v>
      </c>
    </row>
    <row r="105" spans="1:7" x14ac:dyDescent="0.15">
      <c r="A105">
        <v>99</v>
      </c>
      <c r="B105">
        <f>xp!$G101*B$4+B$3</f>
        <v>32256.35</v>
      </c>
      <c r="C105">
        <f>xp!$H101*C$4+C$3</f>
        <v>32268.5</v>
      </c>
      <c r="D105" s="2">
        <f>B105/xp!E102</f>
        <v>1.6128175</v>
      </c>
      <c r="E105" s="2">
        <f>C105/xp!F102</f>
        <v>1.6134250000000001</v>
      </c>
      <c r="F105" s="2">
        <f>B$56/xp!$E102</f>
        <v>0.51031749999999998</v>
      </c>
      <c r="G105" s="2">
        <f>C$56/xp!$F102</f>
        <v>0.51092499999999996</v>
      </c>
    </row>
    <row r="106" spans="1:7" x14ac:dyDescent="0.15">
      <c r="A106">
        <v>100</v>
      </c>
      <c r="B106">
        <f>xp!$G102*B$4+B$3</f>
        <v>32856.35</v>
      </c>
      <c r="C106">
        <f>xp!$H102*C$4+C$3</f>
        <v>32868.5</v>
      </c>
      <c r="D106" s="2"/>
      <c r="E106" s="2"/>
      <c r="F106" s="2"/>
    </row>
  </sheetData>
  <mergeCells count="1">
    <mergeCell ref="B5:C5"/>
  </mergeCells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C7"/>
  <sheetViews>
    <sheetView zoomScaleNormal="100" workbookViewId="0">
      <selection activeCell="AY6" sqref="B6:AY6"/>
    </sheetView>
  </sheetViews>
  <sheetFormatPr defaultRowHeight="13.5" x14ac:dyDescent="0.15"/>
  <cols>
    <col min="2" max="3" width="2.5" bestFit="1" customWidth="1"/>
    <col min="4" max="4" width="3.75" customWidth="1"/>
    <col min="5" max="51" width="3.5" bestFit="1" customWidth="1"/>
    <col min="52" max="53" width="3.875" customWidth="1"/>
  </cols>
  <sheetData>
    <row r="1" spans="1:55" ht="14.25" thickBot="1" x14ac:dyDescent="0.2">
      <c r="A1" s="4" t="s">
        <v>1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N1" s="5">
        <v>13</v>
      </c>
      <c r="O1" s="5">
        <v>14</v>
      </c>
      <c r="P1" s="5">
        <v>15</v>
      </c>
      <c r="Q1" s="5">
        <v>16</v>
      </c>
      <c r="R1" s="5">
        <v>17</v>
      </c>
      <c r="S1" s="5">
        <v>18</v>
      </c>
      <c r="T1" s="5">
        <v>19</v>
      </c>
      <c r="U1" s="16">
        <v>20</v>
      </c>
      <c r="V1" s="5">
        <v>21</v>
      </c>
      <c r="W1" s="5">
        <v>22</v>
      </c>
      <c r="X1" s="5">
        <v>23</v>
      </c>
      <c r="Y1" s="5">
        <v>24</v>
      </c>
      <c r="Z1" s="5">
        <v>25</v>
      </c>
      <c r="AA1" s="5">
        <v>26</v>
      </c>
      <c r="AB1" s="5">
        <v>27</v>
      </c>
      <c r="AC1" s="5">
        <v>28</v>
      </c>
      <c r="AD1" s="5">
        <v>29</v>
      </c>
      <c r="AE1" s="16">
        <v>30</v>
      </c>
      <c r="AF1" s="5">
        <v>31</v>
      </c>
      <c r="AG1" s="5">
        <v>32</v>
      </c>
      <c r="AH1" s="5">
        <v>33</v>
      </c>
      <c r="AI1" s="5">
        <v>34</v>
      </c>
      <c r="AJ1" s="5">
        <v>35</v>
      </c>
      <c r="AK1" s="5">
        <v>36</v>
      </c>
      <c r="AL1" s="5">
        <v>37</v>
      </c>
      <c r="AM1" s="5">
        <v>38</v>
      </c>
      <c r="AN1" s="5">
        <v>39</v>
      </c>
      <c r="AO1" s="5">
        <v>40</v>
      </c>
      <c r="AP1" s="5">
        <v>41</v>
      </c>
      <c r="AQ1" s="5">
        <v>42</v>
      </c>
      <c r="AR1" s="5">
        <v>43</v>
      </c>
      <c r="AS1" s="5">
        <v>44</v>
      </c>
      <c r="AT1" s="5">
        <v>45</v>
      </c>
      <c r="AU1" s="5">
        <v>46</v>
      </c>
      <c r="AV1" s="5">
        <v>47</v>
      </c>
      <c r="AW1" s="5">
        <v>48</v>
      </c>
      <c r="AX1" s="5">
        <v>49</v>
      </c>
      <c r="AY1" s="19">
        <v>50</v>
      </c>
      <c r="AZ1" s="25">
        <v>51</v>
      </c>
      <c r="BA1" s="25">
        <v>52</v>
      </c>
      <c r="BB1" t="s">
        <v>10</v>
      </c>
    </row>
    <row r="2" spans="1:55" x14ac:dyDescent="0.15">
      <c r="A2" s="10" t="s">
        <v>12</v>
      </c>
      <c r="B2" s="5">
        <v>4.8</v>
      </c>
      <c r="C2" s="5">
        <v>7.1999999999999993</v>
      </c>
      <c r="D2" s="5">
        <v>9.6</v>
      </c>
      <c r="E2" s="5">
        <v>12</v>
      </c>
      <c r="F2" s="5">
        <v>14.399999999999999</v>
      </c>
      <c r="G2" s="5">
        <v>16.8</v>
      </c>
      <c r="H2" s="5">
        <v>19.2</v>
      </c>
      <c r="I2" s="5">
        <v>21.599999999999998</v>
      </c>
      <c r="J2" s="5">
        <v>24</v>
      </c>
      <c r="K2" s="5">
        <v>26.4</v>
      </c>
      <c r="L2" s="5">
        <v>28.799999999999997</v>
      </c>
      <c r="M2" s="5">
        <v>31.2</v>
      </c>
      <c r="N2" s="5">
        <v>33.6</v>
      </c>
      <c r="O2" s="5">
        <v>36</v>
      </c>
      <c r="P2" s="5">
        <v>38.4</v>
      </c>
      <c r="Q2" s="5">
        <v>40.799999999999997</v>
      </c>
      <c r="R2" s="5">
        <v>43.199999999999996</v>
      </c>
      <c r="S2" s="5">
        <v>45.6</v>
      </c>
      <c r="T2" s="5">
        <v>48</v>
      </c>
      <c r="U2" s="16">
        <v>50.4</v>
      </c>
      <c r="V2" s="5">
        <v>52.8</v>
      </c>
      <c r="W2" s="5">
        <v>55.199999999999996</v>
      </c>
      <c r="X2" s="5">
        <v>57.599999999999994</v>
      </c>
      <c r="Y2" s="5">
        <v>60</v>
      </c>
      <c r="Z2" s="5">
        <v>61.199999999999996</v>
      </c>
      <c r="AA2" s="5">
        <v>62.4</v>
      </c>
      <c r="AB2" s="5">
        <v>63.599999999999994</v>
      </c>
      <c r="AC2" s="5">
        <v>64.8</v>
      </c>
      <c r="AD2" s="5">
        <v>66</v>
      </c>
      <c r="AE2" s="16">
        <v>67.2</v>
      </c>
      <c r="AF2" s="5">
        <v>68.399999999999991</v>
      </c>
      <c r="AG2" s="5">
        <v>69.599999999999994</v>
      </c>
      <c r="AH2" s="5">
        <v>70.8</v>
      </c>
      <c r="AI2" s="5">
        <v>72</v>
      </c>
      <c r="AJ2" s="5">
        <v>73.2</v>
      </c>
      <c r="AK2" s="5">
        <v>74.399999999999991</v>
      </c>
      <c r="AL2" s="5">
        <v>75.599999999999994</v>
      </c>
      <c r="AM2" s="5">
        <v>76.8</v>
      </c>
      <c r="AN2" s="5">
        <v>78</v>
      </c>
      <c r="AO2" s="5">
        <v>78</v>
      </c>
      <c r="AP2" s="24">
        <v>79.2</v>
      </c>
      <c r="AQ2" s="24">
        <v>79.2</v>
      </c>
      <c r="AR2" s="24">
        <v>80.399999999999991</v>
      </c>
      <c r="AS2" s="24">
        <v>80.399999999999991</v>
      </c>
      <c r="AT2" s="24">
        <v>81.599999999999994</v>
      </c>
      <c r="AU2" s="24">
        <v>81.599999999999994</v>
      </c>
      <c r="AV2" s="24">
        <v>82.8</v>
      </c>
      <c r="AW2" s="24">
        <v>82.8</v>
      </c>
      <c r="AX2" s="24">
        <v>84</v>
      </c>
      <c r="AY2" s="20">
        <v>84</v>
      </c>
    </row>
    <row r="3" spans="1:55" x14ac:dyDescent="0.15">
      <c r="A3" s="6" t="s">
        <v>9</v>
      </c>
      <c r="B3" s="7">
        <v>4</v>
      </c>
      <c r="C3" s="7">
        <v>6</v>
      </c>
      <c r="D3" s="7">
        <v>8</v>
      </c>
      <c r="E3" s="7">
        <v>10</v>
      </c>
      <c r="F3" s="7">
        <v>12</v>
      </c>
      <c r="G3" s="7">
        <v>14</v>
      </c>
      <c r="H3" s="7">
        <v>16</v>
      </c>
      <c r="I3" s="7">
        <v>18</v>
      </c>
      <c r="J3" s="7">
        <v>20</v>
      </c>
      <c r="K3" s="7">
        <v>22</v>
      </c>
      <c r="L3" s="7">
        <v>24</v>
      </c>
      <c r="M3" s="7">
        <v>26</v>
      </c>
      <c r="N3" s="7">
        <v>28</v>
      </c>
      <c r="O3" s="7">
        <v>30</v>
      </c>
      <c r="P3" s="7">
        <v>32</v>
      </c>
      <c r="Q3" s="7">
        <v>34</v>
      </c>
      <c r="R3" s="7">
        <v>36</v>
      </c>
      <c r="S3" s="7">
        <v>38</v>
      </c>
      <c r="T3" s="7">
        <v>40</v>
      </c>
      <c r="U3" s="17">
        <v>42</v>
      </c>
      <c r="V3" s="7">
        <v>44</v>
      </c>
      <c r="W3" s="7">
        <v>46</v>
      </c>
      <c r="X3" s="7">
        <v>48</v>
      </c>
      <c r="Y3" s="7">
        <v>50</v>
      </c>
      <c r="Z3" s="7">
        <v>51</v>
      </c>
      <c r="AA3" s="7">
        <v>52</v>
      </c>
      <c r="AB3" s="7">
        <v>53</v>
      </c>
      <c r="AC3" s="7">
        <v>54</v>
      </c>
      <c r="AD3" s="7">
        <v>55</v>
      </c>
      <c r="AE3" s="17">
        <v>56</v>
      </c>
      <c r="AF3" s="7">
        <v>57</v>
      </c>
      <c r="AG3" s="7">
        <v>58</v>
      </c>
      <c r="AH3" s="7">
        <v>59</v>
      </c>
      <c r="AI3" s="7">
        <v>60</v>
      </c>
      <c r="AJ3" s="7">
        <v>61</v>
      </c>
      <c r="AK3" s="7">
        <v>62</v>
      </c>
      <c r="AL3" s="7">
        <v>63</v>
      </c>
      <c r="AM3" s="7">
        <v>64</v>
      </c>
      <c r="AN3" s="7">
        <v>65</v>
      </c>
      <c r="AO3" s="7">
        <v>65</v>
      </c>
      <c r="AP3" s="14">
        <v>66</v>
      </c>
      <c r="AQ3" s="14">
        <v>66</v>
      </c>
      <c r="AR3" s="14">
        <v>67</v>
      </c>
      <c r="AS3" s="14">
        <v>67</v>
      </c>
      <c r="AT3" s="14">
        <v>68</v>
      </c>
      <c r="AU3" s="14">
        <v>68</v>
      </c>
      <c r="AV3" s="14">
        <v>69</v>
      </c>
      <c r="AW3" s="14">
        <v>69</v>
      </c>
      <c r="AX3" s="14">
        <v>70</v>
      </c>
      <c r="AY3" s="21">
        <v>70</v>
      </c>
    </row>
    <row r="4" spans="1:55" ht="14.25" thickBot="1" x14ac:dyDescent="0.2">
      <c r="A4" s="8" t="s">
        <v>11</v>
      </c>
      <c r="B4" s="9">
        <v>3.2</v>
      </c>
      <c r="C4" s="9">
        <v>4.8000000000000007</v>
      </c>
      <c r="D4" s="9">
        <v>6.4</v>
      </c>
      <c r="E4" s="9">
        <v>8</v>
      </c>
      <c r="F4" s="9">
        <v>9.6000000000000014</v>
      </c>
      <c r="G4" s="9">
        <v>11.200000000000001</v>
      </c>
      <c r="H4" s="9">
        <v>12.8</v>
      </c>
      <c r="I4" s="9">
        <v>14.4</v>
      </c>
      <c r="J4" s="9">
        <v>16</v>
      </c>
      <c r="K4" s="9">
        <v>17.600000000000001</v>
      </c>
      <c r="L4" s="9">
        <v>19.200000000000003</v>
      </c>
      <c r="M4" s="9">
        <v>20.8</v>
      </c>
      <c r="N4" s="9">
        <v>22.400000000000002</v>
      </c>
      <c r="O4" s="9">
        <v>24</v>
      </c>
      <c r="P4" s="9">
        <v>25.6</v>
      </c>
      <c r="Q4" s="9">
        <v>27.200000000000003</v>
      </c>
      <c r="R4" s="9">
        <v>28.8</v>
      </c>
      <c r="S4" s="9">
        <v>30.400000000000002</v>
      </c>
      <c r="T4" s="9">
        <v>32</v>
      </c>
      <c r="U4" s="18">
        <v>33.6</v>
      </c>
      <c r="V4" s="9">
        <v>35.200000000000003</v>
      </c>
      <c r="W4" s="9">
        <v>36.800000000000004</v>
      </c>
      <c r="X4" s="9">
        <v>38.400000000000006</v>
      </c>
      <c r="Y4" s="9">
        <v>40</v>
      </c>
      <c r="Z4" s="9">
        <v>40.800000000000004</v>
      </c>
      <c r="AA4" s="9">
        <v>41.6</v>
      </c>
      <c r="AB4" s="9">
        <v>42.400000000000006</v>
      </c>
      <c r="AC4" s="9">
        <v>43.2</v>
      </c>
      <c r="AD4" s="9">
        <v>44</v>
      </c>
      <c r="AE4" s="18">
        <v>44.800000000000004</v>
      </c>
      <c r="AF4" s="9">
        <v>45.6</v>
      </c>
      <c r="AG4" s="9">
        <v>46.400000000000006</v>
      </c>
      <c r="AH4" s="9">
        <v>47.2</v>
      </c>
      <c r="AI4" s="9">
        <v>48</v>
      </c>
      <c r="AJ4" s="9">
        <v>48.800000000000004</v>
      </c>
      <c r="AK4" s="9">
        <v>49.6</v>
      </c>
      <c r="AL4" s="9">
        <v>50.400000000000006</v>
      </c>
      <c r="AM4" s="9">
        <v>51.2</v>
      </c>
      <c r="AN4" s="9">
        <v>52</v>
      </c>
      <c r="AO4" s="9">
        <v>52</v>
      </c>
      <c r="AP4" s="15">
        <v>52.800000000000004</v>
      </c>
      <c r="AQ4" s="15">
        <v>52.800000000000004</v>
      </c>
      <c r="AR4" s="15">
        <v>53.6</v>
      </c>
      <c r="AS4" s="15">
        <v>53.6</v>
      </c>
      <c r="AT4" s="15">
        <v>54.400000000000006</v>
      </c>
      <c r="AU4" s="15">
        <v>54.400000000000006</v>
      </c>
      <c r="AV4" s="15">
        <v>55.2</v>
      </c>
      <c r="AW4" s="15">
        <v>55.2</v>
      </c>
      <c r="AX4" s="15">
        <v>56</v>
      </c>
      <c r="AY4" s="22">
        <v>56</v>
      </c>
    </row>
    <row r="5" spans="1:55" x14ac:dyDescent="0.15">
      <c r="A5" s="11" t="s">
        <v>15</v>
      </c>
      <c r="B5" s="7">
        <f>B6*$BB5</f>
        <v>4.8</v>
      </c>
      <c r="C5" s="7">
        <f t="shared" ref="C5:BA5" si="0">C6*$BB5</f>
        <v>7.1999999999999993</v>
      </c>
      <c r="D5" s="7">
        <f t="shared" si="0"/>
        <v>9.6</v>
      </c>
      <c r="E5" s="7">
        <f t="shared" si="0"/>
        <v>12</v>
      </c>
      <c r="F5" s="7">
        <f t="shared" si="0"/>
        <v>14.399999999999999</v>
      </c>
      <c r="G5" s="7">
        <f t="shared" si="0"/>
        <v>16.8</v>
      </c>
      <c r="H5" s="7">
        <f t="shared" si="0"/>
        <v>19.2</v>
      </c>
      <c r="I5" s="7">
        <f t="shared" si="0"/>
        <v>21.599999999999998</v>
      </c>
      <c r="J5" s="7">
        <f t="shared" si="0"/>
        <v>24</v>
      </c>
      <c r="K5" s="7">
        <f t="shared" si="0"/>
        <v>26.4</v>
      </c>
      <c r="L5" s="7">
        <f t="shared" si="0"/>
        <v>28.799999999999997</v>
      </c>
      <c r="M5" s="7">
        <f t="shared" si="0"/>
        <v>31.2</v>
      </c>
      <c r="N5" s="7">
        <f t="shared" si="0"/>
        <v>33.6</v>
      </c>
      <c r="O5" s="7">
        <f t="shared" si="0"/>
        <v>36</v>
      </c>
      <c r="P5" s="7">
        <f t="shared" si="0"/>
        <v>38.4</v>
      </c>
      <c r="Q5" s="7">
        <f t="shared" si="0"/>
        <v>40.799999999999997</v>
      </c>
      <c r="R5" s="7">
        <f t="shared" si="0"/>
        <v>43.199999999999996</v>
      </c>
      <c r="S5" s="7">
        <f t="shared" si="0"/>
        <v>45.6</v>
      </c>
      <c r="T5" s="7">
        <f t="shared" si="0"/>
        <v>48</v>
      </c>
      <c r="U5" s="7">
        <f t="shared" si="0"/>
        <v>50.4</v>
      </c>
      <c r="V5" s="7">
        <f t="shared" si="0"/>
        <v>52.8</v>
      </c>
      <c r="W5" s="7">
        <f t="shared" si="0"/>
        <v>55.199999999999996</v>
      </c>
      <c r="X5" s="7">
        <f t="shared" si="0"/>
        <v>57.599999999999994</v>
      </c>
      <c r="Y5" s="7">
        <f t="shared" si="0"/>
        <v>60</v>
      </c>
      <c r="Z5" s="7">
        <f t="shared" si="0"/>
        <v>61.199999999999996</v>
      </c>
      <c r="AA5" s="7">
        <f t="shared" si="0"/>
        <v>62.4</v>
      </c>
      <c r="AB5" s="7">
        <f t="shared" si="0"/>
        <v>63.599999999999994</v>
      </c>
      <c r="AC5" s="7">
        <f t="shared" si="0"/>
        <v>64.8</v>
      </c>
      <c r="AD5" s="7">
        <f t="shared" si="0"/>
        <v>66</v>
      </c>
      <c r="AE5" s="17">
        <f t="shared" si="0"/>
        <v>67.2</v>
      </c>
      <c r="AF5" s="7">
        <f t="shared" si="0"/>
        <v>68.399999999999991</v>
      </c>
      <c r="AG5" s="7">
        <f t="shared" si="0"/>
        <v>69.599999999999994</v>
      </c>
      <c r="AH5" s="7">
        <f t="shared" si="0"/>
        <v>70.8</v>
      </c>
      <c r="AI5" s="7">
        <f t="shared" si="0"/>
        <v>72</v>
      </c>
      <c r="AJ5" s="7">
        <f t="shared" si="0"/>
        <v>73.2</v>
      </c>
      <c r="AK5" s="7">
        <f t="shared" si="0"/>
        <v>74.399999999999991</v>
      </c>
      <c r="AL5" s="7">
        <f t="shared" si="0"/>
        <v>75.599999999999994</v>
      </c>
      <c r="AM5" s="7">
        <f t="shared" si="0"/>
        <v>76.8</v>
      </c>
      <c r="AN5" s="7">
        <f t="shared" si="0"/>
        <v>78</v>
      </c>
      <c r="AO5" s="7">
        <f t="shared" si="0"/>
        <v>79.2</v>
      </c>
      <c r="AP5" s="7">
        <f t="shared" si="0"/>
        <v>80.399999999999991</v>
      </c>
      <c r="AQ5" s="7">
        <f t="shared" si="0"/>
        <v>81.599999999999994</v>
      </c>
      <c r="AR5" s="7">
        <f t="shared" si="0"/>
        <v>82.8</v>
      </c>
      <c r="AS5" s="7">
        <f t="shared" si="0"/>
        <v>84</v>
      </c>
      <c r="AT5" s="7">
        <f t="shared" si="0"/>
        <v>85.2</v>
      </c>
      <c r="AU5" s="7">
        <f t="shared" si="0"/>
        <v>86.399999999999991</v>
      </c>
      <c r="AV5" s="7">
        <f t="shared" si="0"/>
        <v>87.6</v>
      </c>
      <c r="AW5" s="7">
        <f t="shared" si="0"/>
        <v>88.8</v>
      </c>
      <c r="AX5" s="7">
        <f t="shared" si="0"/>
        <v>90</v>
      </c>
      <c r="AY5" s="7">
        <f t="shared" si="0"/>
        <v>90</v>
      </c>
      <c r="AZ5" s="7">
        <f t="shared" si="0"/>
        <v>89.7</v>
      </c>
      <c r="BA5" s="7">
        <f t="shared" si="0"/>
        <v>90</v>
      </c>
      <c r="BB5">
        <v>1.2</v>
      </c>
    </row>
    <row r="6" spans="1:55" x14ac:dyDescent="0.15">
      <c r="A6" s="12" t="s">
        <v>14</v>
      </c>
      <c r="B6" s="7">
        <v>4</v>
      </c>
      <c r="C6" s="7">
        <v>6</v>
      </c>
      <c r="D6" s="7">
        <v>8</v>
      </c>
      <c r="E6" s="7">
        <v>10</v>
      </c>
      <c r="F6" s="7">
        <v>12</v>
      </c>
      <c r="G6" s="7">
        <v>14</v>
      </c>
      <c r="H6" s="7">
        <v>16</v>
      </c>
      <c r="I6" s="7">
        <v>18</v>
      </c>
      <c r="J6" s="7">
        <v>20</v>
      </c>
      <c r="K6" s="7">
        <v>22</v>
      </c>
      <c r="L6" s="7">
        <v>24</v>
      </c>
      <c r="M6" s="7">
        <v>26</v>
      </c>
      <c r="N6" s="7">
        <v>28</v>
      </c>
      <c r="O6" s="7">
        <v>30</v>
      </c>
      <c r="P6" s="7">
        <v>32</v>
      </c>
      <c r="Q6" s="7">
        <v>34</v>
      </c>
      <c r="R6" s="7">
        <v>36</v>
      </c>
      <c r="S6" s="7">
        <v>38</v>
      </c>
      <c r="T6" s="7">
        <v>40</v>
      </c>
      <c r="U6" s="7">
        <v>42</v>
      </c>
      <c r="V6" s="7">
        <v>44</v>
      </c>
      <c r="W6" s="7">
        <v>46</v>
      </c>
      <c r="X6" s="7">
        <v>48</v>
      </c>
      <c r="Y6" s="7">
        <v>50</v>
      </c>
      <c r="Z6" s="7">
        <v>51</v>
      </c>
      <c r="AA6" s="7">
        <v>52</v>
      </c>
      <c r="AB6" s="7">
        <v>53</v>
      </c>
      <c r="AC6" s="7">
        <v>54</v>
      </c>
      <c r="AD6" s="7">
        <v>55</v>
      </c>
      <c r="AE6" s="7">
        <v>56</v>
      </c>
      <c r="AF6" s="7">
        <v>57</v>
      </c>
      <c r="AG6" s="7">
        <v>58</v>
      </c>
      <c r="AH6" s="7">
        <v>59</v>
      </c>
      <c r="AI6" s="7">
        <v>60</v>
      </c>
      <c r="AJ6" s="7">
        <v>61</v>
      </c>
      <c r="AK6" s="7">
        <v>62</v>
      </c>
      <c r="AL6" s="7">
        <v>63</v>
      </c>
      <c r="AM6" s="7">
        <v>64</v>
      </c>
      <c r="AN6" s="7">
        <v>65</v>
      </c>
      <c r="AO6" s="7">
        <v>66</v>
      </c>
      <c r="AP6" s="23">
        <v>67</v>
      </c>
      <c r="AQ6" s="23">
        <v>68</v>
      </c>
      <c r="AR6" s="23">
        <v>69</v>
      </c>
      <c r="AS6" s="23">
        <v>70</v>
      </c>
      <c r="AT6" s="23">
        <v>71</v>
      </c>
      <c r="AU6" s="23">
        <v>72</v>
      </c>
      <c r="AV6" s="23">
        <v>73</v>
      </c>
      <c r="AW6" s="23">
        <v>74</v>
      </c>
      <c r="AX6" s="23">
        <v>75</v>
      </c>
      <c r="AY6" s="23">
        <v>75</v>
      </c>
      <c r="AZ6">
        <f>AZ1/4+$BC6</f>
        <v>74.75</v>
      </c>
      <c r="BA6">
        <f>BA1/4+$BC6</f>
        <v>75</v>
      </c>
      <c r="BB6">
        <v>1</v>
      </c>
      <c r="BC6" s="23">
        <v>62</v>
      </c>
    </row>
    <row r="7" spans="1:55" ht="14.25" thickBot="1" x14ac:dyDescent="0.2">
      <c r="A7" s="13" t="s">
        <v>13</v>
      </c>
      <c r="B7" s="9">
        <f>B6*$BB7</f>
        <v>3.2</v>
      </c>
      <c r="C7" s="9">
        <f t="shared" ref="C7:BA7" si="1">C6*$BB7</f>
        <v>4.8000000000000007</v>
      </c>
      <c r="D7" s="9">
        <f t="shared" si="1"/>
        <v>6.4</v>
      </c>
      <c r="E7" s="9">
        <f t="shared" si="1"/>
        <v>8</v>
      </c>
      <c r="F7" s="9">
        <f t="shared" si="1"/>
        <v>9.6000000000000014</v>
      </c>
      <c r="G7" s="9">
        <f t="shared" si="1"/>
        <v>11.200000000000001</v>
      </c>
      <c r="H7" s="9">
        <f t="shared" si="1"/>
        <v>12.8</v>
      </c>
      <c r="I7" s="9">
        <f t="shared" si="1"/>
        <v>14.4</v>
      </c>
      <c r="J7" s="9">
        <f t="shared" si="1"/>
        <v>16</v>
      </c>
      <c r="K7" s="9">
        <f t="shared" si="1"/>
        <v>17.600000000000001</v>
      </c>
      <c r="L7" s="9">
        <f t="shared" si="1"/>
        <v>19.200000000000003</v>
      </c>
      <c r="M7" s="9">
        <f t="shared" si="1"/>
        <v>20.8</v>
      </c>
      <c r="N7" s="9">
        <f t="shared" si="1"/>
        <v>22.400000000000002</v>
      </c>
      <c r="O7" s="9">
        <f t="shared" si="1"/>
        <v>24</v>
      </c>
      <c r="P7" s="9">
        <f t="shared" si="1"/>
        <v>25.6</v>
      </c>
      <c r="Q7" s="9">
        <f t="shared" si="1"/>
        <v>27.200000000000003</v>
      </c>
      <c r="R7" s="9">
        <f t="shared" si="1"/>
        <v>28.8</v>
      </c>
      <c r="S7" s="9">
        <f t="shared" si="1"/>
        <v>30.400000000000002</v>
      </c>
      <c r="T7" s="9">
        <f t="shared" si="1"/>
        <v>32</v>
      </c>
      <c r="U7" s="9">
        <f t="shared" si="1"/>
        <v>33.6</v>
      </c>
      <c r="V7" s="9">
        <f t="shared" si="1"/>
        <v>35.200000000000003</v>
      </c>
      <c r="W7" s="9">
        <f t="shared" si="1"/>
        <v>36.800000000000004</v>
      </c>
      <c r="X7" s="9">
        <f t="shared" si="1"/>
        <v>38.400000000000006</v>
      </c>
      <c r="Y7" s="9">
        <f t="shared" si="1"/>
        <v>40</v>
      </c>
      <c r="Z7" s="9">
        <f t="shared" si="1"/>
        <v>40.800000000000004</v>
      </c>
      <c r="AA7" s="9">
        <f t="shared" si="1"/>
        <v>41.6</v>
      </c>
      <c r="AB7" s="9">
        <f t="shared" si="1"/>
        <v>42.400000000000006</v>
      </c>
      <c r="AC7" s="9">
        <f t="shared" si="1"/>
        <v>43.2</v>
      </c>
      <c r="AD7" s="9">
        <f t="shared" si="1"/>
        <v>44</v>
      </c>
      <c r="AE7" s="18">
        <f t="shared" si="1"/>
        <v>44.800000000000004</v>
      </c>
      <c r="AF7" s="9">
        <f t="shared" si="1"/>
        <v>45.6</v>
      </c>
      <c r="AG7" s="9">
        <f t="shared" si="1"/>
        <v>46.400000000000006</v>
      </c>
      <c r="AH7" s="9">
        <f t="shared" si="1"/>
        <v>47.2</v>
      </c>
      <c r="AI7" s="9">
        <f t="shared" si="1"/>
        <v>48</v>
      </c>
      <c r="AJ7" s="9">
        <f t="shared" si="1"/>
        <v>48.800000000000004</v>
      </c>
      <c r="AK7" s="9">
        <f t="shared" si="1"/>
        <v>49.6</v>
      </c>
      <c r="AL7" s="9">
        <f t="shared" si="1"/>
        <v>50.400000000000006</v>
      </c>
      <c r="AM7" s="9">
        <f t="shared" si="1"/>
        <v>51.2</v>
      </c>
      <c r="AN7" s="9">
        <f t="shared" si="1"/>
        <v>52</v>
      </c>
      <c r="AO7" s="9">
        <f t="shared" si="1"/>
        <v>52.800000000000004</v>
      </c>
      <c r="AP7" s="9">
        <f t="shared" si="1"/>
        <v>53.6</v>
      </c>
      <c r="AQ7" s="9">
        <f t="shared" si="1"/>
        <v>54.400000000000006</v>
      </c>
      <c r="AR7" s="9">
        <f t="shared" si="1"/>
        <v>55.2</v>
      </c>
      <c r="AS7" s="9">
        <f t="shared" si="1"/>
        <v>56</v>
      </c>
      <c r="AT7" s="9">
        <f t="shared" si="1"/>
        <v>56.800000000000004</v>
      </c>
      <c r="AU7" s="9">
        <f t="shared" si="1"/>
        <v>57.6</v>
      </c>
      <c r="AV7" s="9">
        <f t="shared" si="1"/>
        <v>58.400000000000006</v>
      </c>
      <c r="AW7" s="9">
        <f t="shared" si="1"/>
        <v>59.2</v>
      </c>
      <c r="AX7" s="9">
        <f t="shared" si="1"/>
        <v>60</v>
      </c>
      <c r="AY7" s="9">
        <f t="shared" si="1"/>
        <v>60</v>
      </c>
      <c r="AZ7" s="9">
        <f t="shared" si="1"/>
        <v>59.800000000000004</v>
      </c>
      <c r="BA7" s="9">
        <f t="shared" si="1"/>
        <v>60</v>
      </c>
      <c r="BB7">
        <v>0.8</v>
      </c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tabSelected="1" zoomScale="160" zoomScaleNormal="160" workbookViewId="0">
      <selection activeCell="F13" sqref="F13"/>
    </sheetView>
  </sheetViews>
  <sheetFormatPr defaultRowHeight="13.5" x14ac:dyDescent="0.15"/>
  <sheetData>
    <row r="1" spans="1:6" x14ac:dyDescent="0.15">
      <c r="A1" s="1" t="s">
        <v>28</v>
      </c>
    </row>
    <row r="2" spans="1:6" x14ac:dyDescent="0.15">
      <c r="A2" s="1" t="s">
        <v>29</v>
      </c>
    </row>
    <row r="4" spans="1:6" x14ac:dyDescent="0.15">
      <c r="A4" t="s">
        <v>26</v>
      </c>
      <c r="C4" t="s">
        <v>32</v>
      </c>
      <c r="E4" t="s">
        <v>33</v>
      </c>
    </row>
    <row r="5" spans="1:6" x14ac:dyDescent="0.15">
      <c r="A5" t="s">
        <v>30</v>
      </c>
      <c r="B5" t="s">
        <v>31</v>
      </c>
      <c r="C5" t="s">
        <v>30</v>
      </c>
      <c r="D5" t="s">
        <v>31</v>
      </c>
      <c r="E5" t="s">
        <v>30</v>
      </c>
      <c r="F5" t="s">
        <v>31</v>
      </c>
    </row>
    <row r="6" spans="1:6" x14ac:dyDescent="0.15">
      <c r="A6" s="29">
        <v>0</v>
      </c>
      <c r="B6" s="29">
        <v>0</v>
      </c>
      <c r="C6" s="29">
        <v>0</v>
      </c>
      <c r="D6" s="29">
        <v>0</v>
      </c>
      <c r="E6" s="29">
        <v>0</v>
      </c>
      <c r="F6" s="29">
        <v>0</v>
      </c>
    </row>
    <row r="7" spans="1:6" x14ac:dyDescent="0.15">
      <c r="A7" s="29">
        <v>500</v>
      </c>
      <c r="B7" s="29">
        <f>A7/2+250</f>
        <v>500</v>
      </c>
      <c r="C7" s="29">
        <v>200</v>
      </c>
      <c r="D7" s="29">
        <f>C7</f>
        <v>200</v>
      </c>
      <c r="E7" s="29">
        <v>200</v>
      </c>
      <c r="F7" s="29">
        <f>E7</f>
        <v>200</v>
      </c>
    </row>
    <row r="8" spans="1:6" x14ac:dyDescent="0.15">
      <c r="A8" s="29">
        <v>1000</v>
      </c>
      <c r="B8" s="29">
        <f>A8/2+250</f>
        <v>750</v>
      </c>
      <c r="C8" s="29">
        <v>200</v>
      </c>
      <c r="D8" s="29">
        <f>C8/2+100</f>
        <v>200</v>
      </c>
      <c r="E8" s="29">
        <v>200</v>
      </c>
      <c r="F8" s="29">
        <f>E8/2+100</f>
        <v>200</v>
      </c>
    </row>
    <row r="9" spans="1:6" x14ac:dyDescent="0.15">
      <c r="A9" s="29">
        <v>1000</v>
      </c>
      <c r="B9" s="29">
        <f>A9/4+500</f>
        <v>750</v>
      </c>
      <c r="C9" s="29">
        <v>800</v>
      </c>
      <c r="D9" s="29">
        <f>C9/2+100</f>
        <v>500</v>
      </c>
      <c r="E9" s="29">
        <v>1200</v>
      </c>
      <c r="F9" s="29">
        <f>E9/2+100</f>
        <v>700</v>
      </c>
    </row>
    <row r="10" spans="1:6" x14ac:dyDescent="0.15">
      <c r="A10" s="29">
        <v>2000</v>
      </c>
      <c r="B10" s="29">
        <f>A10/4+500</f>
        <v>1000</v>
      </c>
      <c r="C10" s="29">
        <v>800</v>
      </c>
      <c r="D10" s="29">
        <f>C10/4+300</f>
        <v>500</v>
      </c>
      <c r="E10" s="29">
        <v>1200</v>
      </c>
      <c r="F10" s="29">
        <f>E10/4+400</f>
        <v>700</v>
      </c>
    </row>
    <row r="11" spans="1:6" x14ac:dyDescent="0.15">
      <c r="A11" s="29">
        <v>2000</v>
      </c>
      <c r="B11" s="29">
        <v>1000</v>
      </c>
      <c r="C11" s="29">
        <v>1600</v>
      </c>
      <c r="D11" s="29">
        <f>C11/4+300</f>
        <v>700</v>
      </c>
      <c r="E11" s="29">
        <v>2000</v>
      </c>
      <c r="F11" s="29">
        <f>E11/4+400</f>
        <v>900</v>
      </c>
    </row>
    <row r="12" spans="1:6" x14ac:dyDescent="0.15">
      <c r="A12" s="29">
        <v>5000</v>
      </c>
      <c r="B12" s="29">
        <v>1000</v>
      </c>
      <c r="C12" s="29">
        <v>1600</v>
      </c>
      <c r="D12" s="29">
        <f>C12/8+500</f>
        <v>700</v>
      </c>
      <c r="E12" s="29">
        <v>2000</v>
      </c>
      <c r="F12" s="29">
        <f>E12/8+650</f>
        <v>900</v>
      </c>
    </row>
    <row r="13" spans="1:6" x14ac:dyDescent="0.15">
      <c r="A13" s="29"/>
      <c r="B13" s="29"/>
      <c r="C13" s="29">
        <v>4000</v>
      </c>
      <c r="D13" s="29">
        <f>C13/8+500</f>
        <v>1000</v>
      </c>
      <c r="E13" s="29">
        <v>6000</v>
      </c>
      <c r="F13" s="29">
        <f>E13/8+650</f>
        <v>1400</v>
      </c>
    </row>
    <row r="14" spans="1:6" x14ac:dyDescent="0.15">
      <c r="A14" s="29"/>
      <c r="B14" s="29"/>
      <c r="C14" s="29">
        <v>4000</v>
      </c>
      <c r="D14" s="29">
        <v>1000</v>
      </c>
      <c r="E14" s="29">
        <v>7000</v>
      </c>
      <c r="F14" s="29">
        <v>1400</v>
      </c>
    </row>
    <row r="15" spans="1:6" x14ac:dyDescent="0.15">
      <c r="A15" s="29"/>
      <c r="B15" s="29"/>
      <c r="C15" s="29">
        <v>5000</v>
      </c>
      <c r="D15" s="29">
        <v>1000</v>
      </c>
      <c r="E15" s="29"/>
      <c r="F15" s="29"/>
    </row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xp</vt:lpstr>
      <vt:lpstr>killXP</vt:lpstr>
      <vt:lpstr>respawntime</vt:lpstr>
      <vt:lpstr>killgold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姚鵬遠</dc:creator>
  <cp:lastModifiedBy>姚鵬遠</cp:lastModifiedBy>
  <dcterms:created xsi:type="dcterms:W3CDTF">2021-06-22T13:22:54Z</dcterms:created>
  <dcterms:modified xsi:type="dcterms:W3CDTF">2022-08-28T14:52:52Z</dcterms:modified>
</cp:coreProperties>
</file>